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 Engineer\Investasi\Trading Strategy v1\"/>
    </mc:Choice>
  </mc:AlternateContent>
  <xr:revisionPtr revIDLastSave="0" documentId="13_ncr:1_{0666AC82-EEF3-4F6A-8377-C03874D57570}" xr6:coauthVersionLast="47" xr6:coauthVersionMax="47" xr10:uidLastSave="{00000000-0000-0000-0000-000000000000}"/>
  <bookViews>
    <workbookView xWindow="-108" yWindow="-108" windowWidth="23256" windowHeight="12456" activeTab="1" xr2:uid="{989B48F1-8DEA-4BB4-B290-0C3F4DE89230}"/>
  </bookViews>
  <sheets>
    <sheet name="Rules" sheetId="4" r:id="rId1"/>
    <sheet name="Summary" sheetId="8" r:id="rId2"/>
    <sheet name="Universe" sheetId="6" r:id="rId3"/>
    <sheet name="202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7" l="1"/>
  <c r="B110" i="7"/>
  <c r="B109" i="7"/>
  <c r="B108" i="7"/>
  <c r="B107" i="7"/>
  <c r="B106" i="7"/>
  <c r="B105" i="7"/>
  <c r="B104" i="7"/>
  <c r="B103" i="7"/>
  <c r="B102" i="7"/>
  <c r="B97" i="7"/>
  <c r="B96" i="7"/>
  <c r="B95" i="7"/>
  <c r="B94" i="7"/>
  <c r="B93" i="7"/>
  <c r="B92" i="7"/>
  <c r="B91" i="7"/>
  <c r="B90" i="7"/>
  <c r="B89" i="7"/>
  <c r="B88" i="7"/>
  <c r="B87" i="7"/>
  <c r="B86" i="7"/>
  <c r="B81" i="7"/>
  <c r="B80" i="7"/>
  <c r="B79" i="7"/>
  <c r="B78" i="7"/>
  <c r="B77" i="7"/>
  <c r="B76" i="7"/>
  <c r="B75" i="7"/>
  <c r="B74" i="7"/>
  <c r="B73" i="7"/>
  <c r="B72" i="7"/>
  <c r="B67" i="7"/>
  <c r="B66" i="7"/>
  <c r="B65" i="7"/>
  <c r="B64" i="7"/>
  <c r="B63" i="7"/>
  <c r="B62" i="7"/>
  <c r="B61" i="7"/>
  <c r="B60" i="7"/>
  <c r="B55" i="7"/>
  <c r="B54" i="7"/>
  <c r="B53" i="7"/>
  <c r="B52" i="7"/>
  <c r="B51" i="7"/>
  <c r="B50" i="7"/>
  <c r="B49" i="7"/>
  <c r="B44" i="7"/>
  <c r="B43" i="7"/>
  <c r="B42" i="7"/>
  <c r="B41" i="7"/>
  <c r="B40" i="7"/>
  <c r="B39" i="7"/>
  <c r="B38" i="7"/>
  <c r="B37" i="7"/>
  <c r="B36" i="7"/>
  <c r="B31" i="7"/>
  <c r="B30" i="7"/>
  <c r="B29" i="7"/>
  <c r="B28" i="7"/>
  <c r="B27" i="7"/>
  <c r="B26" i="7"/>
  <c r="B25" i="7"/>
  <c r="B24" i="7"/>
  <c r="B23" i="7"/>
  <c r="B22" i="7"/>
  <c r="B21" i="7"/>
  <c r="B20" i="7"/>
  <c r="B5" i="7"/>
  <c r="B6" i="7"/>
  <c r="B7" i="7"/>
  <c r="B8" i="7"/>
  <c r="B9" i="7"/>
  <c r="B10" i="7"/>
  <c r="B11" i="7"/>
  <c r="B12" i="7"/>
  <c r="B13" i="7"/>
  <c r="B14" i="7"/>
  <c r="B15" i="7"/>
  <c r="B4" i="7"/>
  <c r="D17" i="8"/>
  <c r="D16" i="8"/>
  <c r="D15" i="8"/>
  <c r="C13" i="8"/>
  <c r="D13" i="8" s="1"/>
  <c r="C12" i="8"/>
  <c r="C11" i="8"/>
  <c r="C10" i="8"/>
  <c r="C9" i="8"/>
  <c r="D9" i="8" s="1"/>
  <c r="C8" i="8"/>
  <c r="C7" i="8"/>
  <c r="D7" i="8" s="1"/>
  <c r="C6" i="8"/>
  <c r="C5" i="8"/>
  <c r="C4" i="8"/>
  <c r="C3" i="8"/>
  <c r="C2" i="8"/>
  <c r="D12" i="8"/>
  <c r="D8" i="8"/>
  <c r="D6" i="8"/>
  <c r="D5" i="8"/>
  <c r="D4" i="8"/>
  <c r="H118" i="7"/>
  <c r="H117" i="7"/>
  <c r="H116" i="7"/>
  <c r="AD115" i="7"/>
  <c r="AB115" i="7"/>
  <c r="Z115" i="7"/>
  <c r="X115" i="7"/>
  <c r="V115" i="7"/>
  <c r="T115" i="7"/>
  <c r="R115" i="7"/>
  <c r="P115" i="7"/>
  <c r="N115" i="7"/>
  <c r="L115" i="7"/>
  <c r="J115" i="7"/>
  <c r="AD114" i="7"/>
  <c r="AB114" i="7"/>
  <c r="Z114" i="7"/>
  <c r="X114" i="7"/>
  <c r="V114" i="7"/>
  <c r="T114" i="7"/>
  <c r="R114" i="7"/>
  <c r="P114" i="7"/>
  <c r="N114" i="7"/>
  <c r="L114" i="7"/>
  <c r="J114" i="7"/>
  <c r="H114" i="7"/>
  <c r="D111" i="7"/>
  <c r="D110" i="7"/>
  <c r="D109" i="7"/>
  <c r="D108" i="7"/>
  <c r="D107" i="7"/>
  <c r="D106" i="7"/>
  <c r="D105" i="7"/>
  <c r="D104" i="7"/>
  <c r="D103" i="7"/>
  <c r="D102" i="7"/>
  <c r="D97" i="7"/>
  <c r="D96" i="7"/>
  <c r="D95" i="7"/>
  <c r="D94" i="7"/>
  <c r="D93" i="7"/>
  <c r="D92" i="7"/>
  <c r="D91" i="7"/>
  <c r="D90" i="7"/>
  <c r="D89" i="7"/>
  <c r="D88" i="7"/>
  <c r="D87" i="7"/>
  <c r="D86" i="7"/>
  <c r="D81" i="7"/>
  <c r="D80" i="7"/>
  <c r="D79" i="7"/>
  <c r="D78" i="7"/>
  <c r="D77" i="7"/>
  <c r="D76" i="7"/>
  <c r="D75" i="7"/>
  <c r="D74" i="7"/>
  <c r="D73" i="7"/>
  <c r="D72" i="7"/>
  <c r="D67" i="7"/>
  <c r="D66" i="7"/>
  <c r="D65" i="7"/>
  <c r="D64" i="7"/>
  <c r="D63" i="7"/>
  <c r="D62" i="7"/>
  <c r="D61" i="7"/>
  <c r="D60" i="7"/>
  <c r="D55" i="7"/>
  <c r="D54" i="7"/>
  <c r="D53" i="7"/>
  <c r="D52" i="7"/>
  <c r="D51" i="7"/>
  <c r="D50" i="7"/>
  <c r="D49" i="7"/>
  <c r="D44" i="7"/>
  <c r="D43" i="7"/>
  <c r="D42" i="7"/>
  <c r="D41" i="7"/>
  <c r="D40" i="7"/>
  <c r="D39" i="7"/>
  <c r="D38" i="7"/>
  <c r="D37" i="7"/>
  <c r="D36" i="7"/>
  <c r="D31" i="7"/>
  <c r="D30" i="7"/>
  <c r="D29" i="7"/>
  <c r="D28" i="7"/>
  <c r="D27" i="7"/>
  <c r="D26" i="7"/>
  <c r="D25" i="7"/>
  <c r="D24" i="7"/>
  <c r="D23" i="7"/>
  <c r="D22" i="7"/>
  <c r="D21" i="7"/>
  <c r="D20" i="7"/>
  <c r="D11" i="7"/>
  <c r="D12" i="7"/>
  <c r="D5" i="7"/>
  <c r="D6" i="7"/>
  <c r="D7" i="7"/>
  <c r="D8" i="7"/>
  <c r="D9" i="7"/>
  <c r="D10" i="7"/>
  <c r="D13" i="7"/>
  <c r="D14" i="7"/>
  <c r="D15" i="7"/>
  <c r="D4" i="7"/>
  <c r="F4" i="7"/>
  <c r="H4" i="7" s="1"/>
  <c r="F5" i="7"/>
  <c r="H5" i="7" s="1"/>
  <c r="F6" i="7"/>
  <c r="H6" i="7" s="1"/>
  <c r="F7" i="7"/>
  <c r="H7" i="7" s="1"/>
  <c r="F8" i="7"/>
  <c r="H8" i="7" s="1"/>
  <c r="F9" i="7"/>
  <c r="H9" i="7" s="1"/>
  <c r="F10" i="7"/>
  <c r="H10" i="7" s="1"/>
  <c r="F11" i="7"/>
  <c r="H11" i="7" s="1"/>
  <c r="F12" i="7"/>
  <c r="H12" i="7" s="1"/>
  <c r="F13" i="7"/>
  <c r="H13" i="7" s="1"/>
  <c r="F14" i="7"/>
  <c r="H14" i="7" s="1"/>
  <c r="F15" i="7"/>
  <c r="H15" i="7" s="1"/>
  <c r="D11" i="8" l="1"/>
  <c r="D10" i="8"/>
  <c r="D3" i="8"/>
  <c r="H16" i="7"/>
  <c r="L11" i="7"/>
  <c r="L10" i="7"/>
  <c r="L9" i="7"/>
  <c r="J8" i="7"/>
  <c r="J7" i="7"/>
  <c r="L8" i="7"/>
  <c r="L7" i="7"/>
  <c r="J15" i="7"/>
  <c r="J12" i="7"/>
  <c r="L15" i="7"/>
  <c r="J4" i="7"/>
  <c r="L6" i="7"/>
  <c r="J14" i="7"/>
  <c r="L5" i="7"/>
  <c r="J13" i="7"/>
  <c r="L4" i="7"/>
  <c r="J11" i="7"/>
  <c r="L14" i="7"/>
  <c r="J10" i="7"/>
  <c r="L13" i="7"/>
  <c r="J9" i="7"/>
  <c r="L12" i="7"/>
  <c r="J5" i="7"/>
  <c r="J6" i="7"/>
  <c r="D19" i="7" l="1"/>
  <c r="L16" i="7"/>
  <c r="J16" i="7"/>
  <c r="J17" i="7" s="1"/>
  <c r="L17" i="7" l="1"/>
  <c r="F36" i="7"/>
  <c r="F37" i="7"/>
  <c r="F38" i="7"/>
  <c r="F39" i="7"/>
  <c r="F40" i="7"/>
  <c r="F41" i="7"/>
  <c r="F42" i="7"/>
  <c r="F43" i="7"/>
  <c r="F44" i="7"/>
  <c r="F21" i="7"/>
  <c r="F28" i="7"/>
  <c r="F31" i="7"/>
  <c r="F29" i="7"/>
  <c r="F23" i="7"/>
  <c r="F25" i="7"/>
  <c r="F30" i="7"/>
  <c r="F24" i="7"/>
  <c r="F26" i="7"/>
  <c r="F20" i="7"/>
  <c r="F22" i="7"/>
  <c r="F27" i="7"/>
  <c r="N44" i="7" l="1"/>
  <c r="P44" i="7"/>
  <c r="N43" i="7"/>
  <c r="P43" i="7"/>
  <c r="N42" i="7"/>
  <c r="P42" i="7"/>
  <c r="P41" i="7"/>
  <c r="N41" i="7"/>
  <c r="P40" i="7"/>
  <c r="N40" i="7"/>
  <c r="N39" i="7"/>
  <c r="P39" i="7"/>
  <c r="N37" i="7"/>
  <c r="P37" i="7"/>
  <c r="N38" i="7"/>
  <c r="P38" i="7"/>
  <c r="N36" i="7"/>
  <c r="P36" i="7"/>
  <c r="L21" i="7"/>
  <c r="N21" i="7"/>
  <c r="L27" i="7"/>
  <c r="N27" i="7"/>
  <c r="L22" i="7"/>
  <c r="N22" i="7"/>
  <c r="L20" i="7"/>
  <c r="N20" i="7"/>
  <c r="L26" i="7"/>
  <c r="N26" i="7"/>
  <c r="L24" i="7"/>
  <c r="N24" i="7"/>
  <c r="L30" i="7"/>
  <c r="N30" i="7"/>
  <c r="L25" i="7"/>
  <c r="N25" i="7"/>
  <c r="L23" i="7"/>
  <c r="N23" i="7"/>
  <c r="L29" i="7"/>
  <c r="N29" i="7"/>
  <c r="L31" i="7"/>
  <c r="N31" i="7"/>
  <c r="L28" i="7"/>
  <c r="N28" i="7"/>
  <c r="P45" i="7" l="1"/>
  <c r="N45" i="7"/>
  <c r="L32" i="7"/>
  <c r="N32" i="7"/>
  <c r="D35" i="7" s="1"/>
  <c r="D48" i="7" l="1"/>
  <c r="F55" i="7" s="1"/>
  <c r="P46" i="7"/>
  <c r="N33" i="7"/>
  <c r="P55" i="7" l="1"/>
  <c r="T55" i="7"/>
  <c r="R55" i="7"/>
  <c r="F50" i="7"/>
  <c r="F51" i="7"/>
  <c r="F52" i="7"/>
  <c r="F53" i="7"/>
  <c r="F54" i="7"/>
  <c r="F49" i="7"/>
  <c r="P49" i="7" l="1"/>
  <c r="T49" i="7"/>
  <c r="R49" i="7"/>
  <c r="P52" i="7"/>
  <c r="T52" i="7"/>
  <c r="R52" i="7"/>
  <c r="P53" i="7"/>
  <c r="T53" i="7"/>
  <c r="R53" i="7"/>
  <c r="P51" i="7"/>
  <c r="T51" i="7"/>
  <c r="R51" i="7"/>
  <c r="P54" i="7"/>
  <c r="T54" i="7"/>
  <c r="R54" i="7"/>
  <c r="P50" i="7"/>
  <c r="R50" i="7"/>
  <c r="T50" i="7"/>
  <c r="P56" i="7" l="1"/>
  <c r="R56" i="7"/>
  <c r="R57" i="7" s="1"/>
  <c r="T56" i="7"/>
  <c r="T57" i="7" l="1"/>
  <c r="D59" i="7"/>
  <c r="F60" i="7" s="1"/>
  <c r="F61" i="7" l="1"/>
  <c r="F62" i="7"/>
  <c r="F63" i="7"/>
  <c r="F64" i="7"/>
  <c r="F65" i="7"/>
  <c r="F66" i="7"/>
  <c r="F67" i="7"/>
  <c r="T67" i="7" l="1"/>
  <c r="V67" i="7"/>
  <c r="V66" i="7"/>
  <c r="T66" i="7"/>
  <c r="T65" i="7"/>
  <c r="V65" i="7"/>
  <c r="T64" i="7"/>
  <c r="V64" i="7"/>
  <c r="V63" i="7"/>
  <c r="T63" i="7"/>
  <c r="V62" i="7"/>
  <c r="T62" i="7"/>
  <c r="V61" i="7"/>
  <c r="T61" i="7"/>
  <c r="V60" i="7"/>
  <c r="T60" i="7"/>
  <c r="V68" i="7" l="1"/>
  <c r="T68" i="7"/>
  <c r="V69" i="7" l="1"/>
  <c r="D71" i="7"/>
  <c r="F73" i="7" l="1"/>
  <c r="F74" i="7"/>
  <c r="F75" i="7"/>
  <c r="F72" i="7"/>
  <c r="F76" i="7"/>
  <c r="F77" i="7"/>
  <c r="F78" i="7"/>
  <c r="F79" i="7"/>
  <c r="F80" i="7"/>
  <c r="F81" i="7"/>
  <c r="V81" i="7" l="1"/>
  <c r="X81" i="7"/>
  <c r="V80" i="7"/>
  <c r="X80" i="7"/>
  <c r="X79" i="7"/>
  <c r="V79" i="7"/>
  <c r="V78" i="7"/>
  <c r="X78" i="7"/>
  <c r="X77" i="7"/>
  <c r="V77" i="7"/>
  <c r="V76" i="7"/>
  <c r="X76" i="7"/>
  <c r="X72" i="7"/>
  <c r="V72" i="7"/>
  <c r="V75" i="7"/>
  <c r="X75" i="7"/>
  <c r="V74" i="7"/>
  <c r="X74" i="7"/>
  <c r="V73" i="7"/>
  <c r="X73" i="7"/>
  <c r="V82" i="7" l="1"/>
  <c r="X82" i="7"/>
  <c r="D85" i="7" l="1"/>
  <c r="X83" i="7"/>
  <c r="F87" i="7" l="1"/>
  <c r="F88" i="7"/>
  <c r="F89" i="7"/>
  <c r="F90" i="7"/>
  <c r="F93" i="7"/>
  <c r="F91" i="7"/>
  <c r="F92" i="7"/>
  <c r="F94" i="7"/>
  <c r="F95" i="7"/>
  <c r="F97" i="7"/>
  <c r="F86" i="7"/>
  <c r="F96" i="7"/>
  <c r="X96" i="7" l="1"/>
  <c r="AB96" i="7"/>
  <c r="Z96" i="7"/>
  <c r="AB97" i="7"/>
  <c r="X97" i="7"/>
  <c r="Z97" i="7"/>
  <c r="Z95" i="7"/>
  <c r="X95" i="7"/>
  <c r="AB95" i="7"/>
  <c r="X94" i="7"/>
  <c r="AB94" i="7"/>
  <c r="Z94" i="7"/>
  <c r="AB92" i="7"/>
  <c r="Z92" i="7"/>
  <c r="X92" i="7"/>
  <c r="AB91" i="7"/>
  <c r="Z91" i="7"/>
  <c r="X91" i="7"/>
  <c r="AB93" i="7"/>
  <c r="X93" i="7"/>
  <c r="Z93" i="7"/>
  <c r="AB90" i="7"/>
  <c r="Z90" i="7"/>
  <c r="X90" i="7"/>
  <c r="Z89" i="7"/>
  <c r="X89" i="7"/>
  <c r="AB89" i="7"/>
  <c r="Z88" i="7"/>
  <c r="X88" i="7"/>
  <c r="AB88" i="7"/>
  <c r="AB86" i="7"/>
  <c r="Z86" i="7"/>
  <c r="X86" i="7"/>
  <c r="X87" i="7"/>
  <c r="Z87" i="7"/>
  <c r="AB87" i="7"/>
  <c r="X98" i="7" l="1"/>
  <c r="Z98" i="7"/>
  <c r="Z99" i="7" s="1"/>
  <c r="AB98" i="7"/>
  <c r="AB99" i="7" l="1"/>
  <c r="D101" i="7"/>
  <c r="F104" i="7" l="1"/>
  <c r="F105" i="7"/>
  <c r="F106" i="7"/>
  <c r="F107" i="7"/>
  <c r="F110" i="7"/>
  <c r="F108" i="7"/>
  <c r="F109" i="7"/>
  <c r="F111" i="7"/>
  <c r="F103" i="7"/>
  <c r="F102" i="7"/>
  <c r="AB111" i="7" l="1"/>
  <c r="AD111" i="7"/>
  <c r="AB102" i="7"/>
  <c r="AD102" i="7"/>
  <c r="AB103" i="7"/>
  <c r="AD103" i="7"/>
  <c r="AB109" i="7"/>
  <c r="AD109" i="7"/>
  <c r="AD108" i="7"/>
  <c r="AB108" i="7"/>
  <c r="AB110" i="7"/>
  <c r="AD110" i="7"/>
  <c r="AD107" i="7"/>
  <c r="AB107" i="7"/>
  <c r="AB106" i="7"/>
  <c r="AD106" i="7"/>
  <c r="AB105" i="7"/>
  <c r="AD105" i="7"/>
  <c r="AB104" i="7"/>
  <c r="AD104" i="7"/>
  <c r="AD112" i="7" l="1"/>
  <c r="AB112" i="7"/>
  <c r="AD113" i="7" l="1"/>
</calcChain>
</file>

<file path=xl/sharedStrings.xml><?xml version="1.0" encoding="utf-8"?>
<sst xmlns="http://schemas.openxmlformats.org/spreadsheetml/2006/main" count="965" uniqueCount="459">
  <si>
    <t>No</t>
  </si>
  <si>
    <t>Index</t>
  </si>
  <si>
    <t>Company</t>
  </si>
  <si>
    <t>S&amp;P 500</t>
  </si>
  <si>
    <t>Information Technology</t>
  </si>
  <si>
    <t>NVDA</t>
  </si>
  <si>
    <t>NVIDIA Corporation</t>
  </si>
  <si>
    <t>AAPL</t>
  </si>
  <si>
    <t>Apple Inc.</t>
  </si>
  <si>
    <t>GOOG</t>
  </si>
  <si>
    <t>Alphabet Inc.</t>
  </si>
  <si>
    <t>GOOGL</t>
  </si>
  <si>
    <t>MSFT</t>
  </si>
  <si>
    <t>Microsoft Corporation</t>
  </si>
  <si>
    <t>Consumer Discretionary</t>
  </si>
  <si>
    <t>AMZN</t>
  </si>
  <si>
    <t>META</t>
  </si>
  <si>
    <t>TSLA</t>
  </si>
  <si>
    <t>AVGO</t>
  </si>
  <si>
    <t>Broadcom Inc.</t>
  </si>
  <si>
    <t>Financials</t>
  </si>
  <si>
    <t>BRK.B</t>
  </si>
  <si>
    <t>Berkshire Hathaway Inc.</t>
  </si>
  <si>
    <t>Health Care</t>
  </si>
  <si>
    <t>LLY</t>
  </si>
  <si>
    <t>Eli Lilly and Company</t>
  </si>
  <si>
    <t>Consumer Staples</t>
  </si>
  <si>
    <t>WMT</t>
  </si>
  <si>
    <t>Walmart Inc.</t>
  </si>
  <si>
    <t>JPM</t>
  </si>
  <si>
    <t>JPMorgan Chase &amp; Co.</t>
  </si>
  <si>
    <t>V</t>
  </si>
  <si>
    <t>Visa Inc.</t>
  </si>
  <si>
    <t>ORCL</t>
  </si>
  <si>
    <t>Oracle Corporation</t>
  </si>
  <si>
    <t>MA</t>
  </si>
  <si>
    <t>JNJ</t>
  </si>
  <si>
    <t>Johnson &amp; Johnson</t>
  </si>
  <si>
    <t>Energy</t>
  </si>
  <si>
    <t>XOM</t>
  </si>
  <si>
    <t>Exxon Mobil Corporation</t>
  </si>
  <si>
    <t>NFLX</t>
  </si>
  <si>
    <t>PLTR</t>
  </si>
  <si>
    <t>BAC</t>
  </si>
  <si>
    <t>ABBV</t>
  </si>
  <si>
    <t>AbbVie Inc.</t>
  </si>
  <si>
    <t>COST</t>
  </si>
  <si>
    <t>HD</t>
  </si>
  <si>
    <t>PG</t>
  </si>
  <si>
    <t>AMD</t>
  </si>
  <si>
    <t>Industrials</t>
  </si>
  <si>
    <t>GE</t>
  </si>
  <si>
    <t>GE Aerospace</t>
  </si>
  <si>
    <t>KO</t>
  </si>
  <si>
    <t>CVX</t>
  </si>
  <si>
    <t>Chevron Corporation</t>
  </si>
  <si>
    <t>UNH</t>
  </si>
  <si>
    <t>CSCO</t>
  </si>
  <si>
    <t>WFC</t>
  </si>
  <si>
    <t>Wells Fargo &amp; Company</t>
  </si>
  <si>
    <t>IBM</t>
  </si>
  <si>
    <t>MS</t>
  </si>
  <si>
    <t>Morgan Stanley</t>
  </si>
  <si>
    <t>GS</t>
  </si>
  <si>
    <t>CAT</t>
  </si>
  <si>
    <t>Caterpillar Inc.</t>
  </si>
  <si>
    <t>AXP</t>
  </si>
  <si>
    <t>MU</t>
  </si>
  <si>
    <t>PM</t>
  </si>
  <si>
    <t>MRK</t>
  </si>
  <si>
    <t>CRM</t>
  </si>
  <si>
    <t>RTX</t>
  </si>
  <si>
    <t>RTX Corporation</t>
  </si>
  <si>
    <t>MCD</t>
  </si>
  <si>
    <t>TMUS</t>
  </si>
  <si>
    <t>ABT</t>
  </si>
  <si>
    <t>Abbott Laboratories</t>
  </si>
  <si>
    <t>PEP</t>
  </si>
  <si>
    <t>C</t>
  </si>
  <si>
    <t>Citigroup Inc.</t>
  </si>
  <si>
    <t>Communication Services</t>
  </si>
  <si>
    <t>DIS</t>
  </si>
  <si>
    <t>ISRG</t>
  </si>
  <si>
    <t>Materials</t>
  </si>
  <si>
    <t>LIN</t>
  </si>
  <si>
    <t>Linde plc</t>
  </si>
  <si>
    <t>AMAT</t>
  </si>
  <si>
    <t>LRCX</t>
  </si>
  <si>
    <t>BX</t>
  </si>
  <si>
    <t>Blackstone Inc.</t>
  </si>
  <si>
    <t>INTU</t>
  </si>
  <si>
    <t>Intuit Inc.</t>
  </si>
  <si>
    <t>QCOM</t>
  </si>
  <si>
    <t>AMGN</t>
  </si>
  <si>
    <t>Amgen Inc.</t>
  </si>
  <si>
    <t>BLK</t>
  </si>
  <si>
    <t>TJX</t>
  </si>
  <si>
    <t>T</t>
  </si>
  <si>
    <t>AT&amp;T Inc.</t>
  </si>
  <si>
    <t>VZ</t>
  </si>
  <si>
    <t>BKNG</t>
  </si>
  <si>
    <t>INTC</t>
  </si>
  <si>
    <t>SCHW</t>
  </si>
  <si>
    <t>ACN</t>
  </si>
  <si>
    <t>Accenture plc</t>
  </si>
  <si>
    <t>Utilities</t>
  </si>
  <si>
    <t>NEE</t>
  </si>
  <si>
    <t>GEV</t>
  </si>
  <si>
    <t>UBER</t>
  </si>
  <si>
    <t>NOW</t>
  </si>
  <si>
    <t>TXN</t>
  </si>
  <si>
    <t>DHR</t>
  </si>
  <si>
    <t>BA</t>
  </si>
  <si>
    <t>APH</t>
  </si>
  <si>
    <t>SPGI</t>
  </si>
  <si>
    <t>ANET</t>
  </si>
  <si>
    <t>KLAC</t>
  </si>
  <si>
    <t>COF</t>
  </si>
  <si>
    <t>GILD</t>
  </si>
  <si>
    <t>ADBE</t>
  </si>
  <si>
    <t>Adobe Inc.</t>
  </si>
  <si>
    <t>PFE</t>
  </si>
  <si>
    <t>Pfizer Inc.</t>
  </si>
  <si>
    <t>UNP</t>
  </si>
  <si>
    <t>BSX</t>
  </si>
  <si>
    <t>LOW</t>
  </si>
  <si>
    <t>SYK</t>
  </si>
  <si>
    <t>PGR</t>
  </si>
  <si>
    <t>ADI</t>
  </si>
  <si>
    <t>DE</t>
  </si>
  <si>
    <t>Deere &amp; Company</t>
  </si>
  <si>
    <t>Real Estate</t>
  </si>
  <si>
    <t>WELL</t>
  </si>
  <si>
    <t>Welltower Inc.</t>
  </si>
  <si>
    <t>PANW</t>
  </si>
  <si>
    <t>HON</t>
  </si>
  <si>
    <t>MDT</t>
  </si>
  <si>
    <t>Medtronic plc</t>
  </si>
  <si>
    <t>CB</t>
  </si>
  <si>
    <t>ETN</t>
  </si>
  <si>
    <t>PLD</t>
  </si>
  <si>
    <t>CRWD</t>
  </si>
  <si>
    <t>KKR</t>
  </si>
  <si>
    <t>COP</t>
  </si>
  <si>
    <t>ConocoPhillips</t>
  </si>
  <si>
    <t>VRTX</t>
  </si>
  <si>
    <t>CMCSA</t>
  </si>
  <si>
    <t>Banchmark</t>
  </si>
  <si>
    <t>Universe</t>
  </si>
  <si>
    <t>S&amp;P 300</t>
  </si>
  <si>
    <t>Holding &amp; Review</t>
  </si>
  <si>
    <t>Monthly</t>
  </si>
  <si>
    <t>10-16</t>
  </si>
  <si>
    <t>Rebalancing</t>
  </si>
  <si>
    <t>Banchmark &amp; Universe</t>
  </si>
  <si>
    <t>a</t>
  </si>
  <si>
    <t>b</t>
  </si>
  <si>
    <t>Parameter</t>
  </si>
  <si>
    <t>c</t>
  </si>
  <si>
    <t>d</t>
  </si>
  <si>
    <t>Data</t>
  </si>
  <si>
    <t>Risk-Free</t>
  </si>
  <si>
    <t>T-Bill 3 Month</t>
  </si>
  <si>
    <t>Sector</t>
  </si>
  <si>
    <t>Ticker</t>
  </si>
  <si>
    <t>Market Cap (B)</t>
  </si>
  <si>
    <t>Amazon.com Inc.</t>
  </si>
  <si>
    <t>Meta Platforms Inc.</t>
  </si>
  <si>
    <t>Tesla Inc.</t>
  </si>
  <si>
    <t>Mastercard Inc.</t>
  </si>
  <si>
    <t>Netflix Inc.</t>
  </si>
  <si>
    <t>Palantir Technologies</t>
  </si>
  <si>
    <t>Bank of America Corp</t>
  </si>
  <si>
    <t>Costco Wholesale Corp</t>
  </si>
  <si>
    <t>Home Depot Inc.</t>
  </si>
  <si>
    <t>Procter &amp; Gamble</t>
  </si>
  <si>
    <t>Advanced Micro Devices</t>
  </si>
  <si>
    <t>Coca-Cola Company</t>
  </si>
  <si>
    <t>UnitedHealth Group</t>
  </si>
  <si>
    <t>Cisco Systems</t>
  </si>
  <si>
    <t>IBM Corporation</t>
  </si>
  <si>
    <t>Goldman Sachs Group</t>
  </si>
  <si>
    <t>American Express</t>
  </si>
  <si>
    <t>Micron Technology</t>
  </si>
  <si>
    <t>Philip Morris Intl</t>
  </si>
  <si>
    <t>Merck &amp; Co.</t>
  </si>
  <si>
    <t>Salesforce Inc.</t>
  </si>
  <si>
    <t>McDonald's Corp.</t>
  </si>
  <si>
    <t>T-Mobile US</t>
  </si>
  <si>
    <t>PepsiCo Inc.</t>
  </si>
  <si>
    <t>Walt Disney Company</t>
  </si>
  <si>
    <t>Intuitive Surgical</t>
  </si>
  <si>
    <t>Applied Materials</t>
  </si>
  <si>
    <t>Lam Research</t>
  </si>
  <si>
    <t>Qualcomm Inc.</t>
  </si>
  <si>
    <t>BlackRock Inc.</t>
  </si>
  <si>
    <t>TJX Companies</t>
  </si>
  <si>
    <t>Verizon Comm.</t>
  </si>
  <si>
    <t>Booking Holdings</t>
  </si>
  <si>
    <t>Intel Corp.</t>
  </si>
  <si>
    <t>Charles Schwab</t>
  </si>
  <si>
    <t>NextEra Energy</t>
  </si>
  <si>
    <t>GE Vernova</t>
  </si>
  <si>
    <t>Uber Technologies</t>
  </si>
  <si>
    <t>ServiceNow Inc.</t>
  </si>
  <si>
    <t>Texas Instruments</t>
  </si>
  <si>
    <t>Danaher Corp</t>
  </si>
  <si>
    <t>Boeing Company</t>
  </si>
  <si>
    <t>Amphenol Corp</t>
  </si>
  <si>
    <t>S&amp;P Global</t>
  </si>
  <si>
    <t>Arista Networks</t>
  </si>
  <si>
    <t>KLA Corp</t>
  </si>
  <si>
    <t>Capital One</t>
  </si>
  <si>
    <t>Gilead Sciences</t>
  </si>
  <si>
    <t>Union Pacific</t>
  </si>
  <si>
    <t>Boston Scientific</t>
  </si>
  <si>
    <t>Lowe’s Companies</t>
  </si>
  <si>
    <t>Stryker Corp</t>
  </si>
  <si>
    <t>Progressive Corp</t>
  </si>
  <si>
    <t>Analog Devices</t>
  </si>
  <si>
    <t>Palo Alto Networks</t>
  </si>
  <si>
    <t>Honeywell Intl</t>
  </si>
  <si>
    <t>Chubb Ltd</t>
  </si>
  <si>
    <t>Eaton Corp</t>
  </si>
  <si>
    <t>Prologis Inc.</t>
  </si>
  <si>
    <t>CrowdStrike</t>
  </si>
  <si>
    <t>KKR &amp; Co</t>
  </si>
  <si>
    <t>Vertex Pharma</t>
  </si>
  <si>
    <t>Comcast Corp</t>
  </si>
  <si>
    <t>LMT</t>
  </si>
  <si>
    <t>Lockheed Martin</t>
  </si>
  <si>
    <t>MDLZ</t>
  </si>
  <si>
    <t>Mondelez Intl</t>
  </si>
  <si>
    <t>Analog Devices Inc.</t>
  </si>
  <si>
    <t>Honeywell Intl.</t>
  </si>
  <si>
    <t>Chubb Ltd.</t>
  </si>
  <si>
    <t>Eaton Corp.</t>
  </si>
  <si>
    <t>CrowdStrike Holdings</t>
  </si>
  <si>
    <t>KKR &amp; Co.</t>
  </si>
  <si>
    <t>Vertex Pharmaceuticals</t>
  </si>
  <si>
    <t>Comcast Corp.</t>
  </si>
  <si>
    <t>Mondelez Intl.</t>
  </si>
  <si>
    <t>NOC</t>
  </si>
  <si>
    <t>Northrop Grumman</t>
  </si>
  <si>
    <t>GD</t>
  </si>
  <si>
    <t>General Dynamics</t>
  </si>
  <si>
    <t>CI</t>
  </si>
  <si>
    <t>The Cigna Group</t>
  </si>
  <si>
    <t>TGT</t>
  </si>
  <si>
    <t>Target Corp.</t>
  </si>
  <si>
    <t>SNPS</t>
  </si>
  <si>
    <t>Synopsys Inc.</t>
  </si>
  <si>
    <t>CDNS</t>
  </si>
  <si>
    <t>Cadence Design Sys.</t>
  </si>
  <si>
    <t>EMR</t>
  </si>
  <si>
    <t>Emerson Electric</t>
  </si>
  <si>
    <t>PH</t>
  </si>
  <si>
    <t>Parker-Hannifin</t>
  </si>
  <si>
    <t>AON</t>
  </si>
  <si>
    <t>Aon plc</t>
  </si>
  <si>
    <t>CL</t>
  </si>
  <si>
    <t>Colgate-Palmolive</t>
  </si>
  <si>
    <t>ITW</t>
  </si>
  <si>
    <t>Illinois Tool Works</t>
  </si>
  <si>
    <t>MET</t>
  </si>
  <si>
    <t>MetLife Inc.</t>
  </si>
  <si>
    <t>CSX</t>
  </si>
  <si>
    <t>CSX Corporation</t>
  </si>
  <si>
    <t>DUK</t>
  </si>
  <si>
    <t>Duke Energy</t>
  </si>
  <si>
    <t>MAR</t>
  </si>
  <si>
    <t>Marriott Intl.</t>
  </si>
  <si>
    <t>MMC</t>
  </si>
  <si>
    <t>Marsh &amp; McLennan</t>
  </si>
  <si>
    <t>FTNT</t>
  </si>
  <si>
    <t>Fortinet Inc.</t>
  </si>
  <si>
    <t>KMB</t>
  </si>
  <si>
    <t>Kimberly-Clark</t>
  </si>
  <si>
    <t>WM</t>
  </si>
  <si>
    <t>Waste Management</t>
  </si>
  <si>
    <t>ORLY</t>
  </si>
  <si>
    <t>O’Reilly Auto</t>
  </si>
  <si>
    <t>ROP</t>
  </si>
  <si>
    <t>Roper Technologies</t>
  </si>
  <si>
    <t>BDX</t>
  </si>
  <si>
    <t>Becton Dickinson</t>
  </si>
  <si>
    <t>ROST</t>
  </si>
  <si>
    <t>Ross Stores</t>
  </si>
  <si>
    <t>SO</t>
  </si>
  <si>
    <t>Southern Company</t>
  </si>
  <si>
    <t>WDAY</t>
  </si>
  <si>
    <t>Workday Inc.</t>
  </si>
  <si>
    <t>PCAR</t>
  </si>
  <si>
    <t>PACCAR Inc.</t>
  </si>
  <si>
    <t>TEAM</t>
  </si>
  <si>
    <t>Atlassian Corp.</t>
  </si>
  <si>
    <t>SLB</t>
  </si>
  <si>
    <t>Schlumberger</t>
  </si>
  <si>
    <t>SYY</t>
  </si>
  <si>
    <t>Sysco Corp.</t>
  </si>
  <si>
    <t>PAYX</t>
  </si>
  <si>
    <t>Paychex Inc.</t>
  </si>
  <si>
    <t>TRV</t>
  </si>
  <si>
    <t>Travelers Companies</t>
  </si>
  <si>
    <t>EW</t>
  </si>
  <si>
    <t>Edwards Lifesciences</t>
  </si>
  <si>
    <t>CTSH</t>
  </si>
  <si>
    <t>Cognizant Tech.</t>
  </si>
  <si>
    <t>OTIS</t>
  </si>
  <si>
    <t>Otis Worldwide</t>
  </si>
  <si>
    <t>AEP</t>
  </si>
  <si>
    <t>American Electric Power</t>
  </si>
  <si>
    <t>GWW</t>
  </si>
  <si>
    <t>W.W. Grainger</t>
  </si>
  <si>
    <t>MSCI</t>
  </si>
  <si>
    <t>MSCI Inc.</t>
  </si>
  <si>
    <t>DLTR</t>
  </si>
  <si>
    <t>Dollar Tree</t>
  </si>
  <si>
    <t>HPQ</t>
  </si>
  <si>
    <t>HP Inc.</t>
  </si>
  <si>
    <t>HCA</t>
  </si>
  <si>
    <t>HCA Healthcare</t>
  </si>
  <si>
    <t>EOG</t>
  </si>
  <si>
    <t>EOG Resources</t>
  </si>
  <si>
    <t>VRSK</t>
  </si>
  <si>
    <t>Verisk Analytics</t>
  </si>
  <si>
    <t>YUM</t>
  </si>
  <si>
    <t>Yum! Brands</t>
  </si>
  <si>
    <t>NTAP</t>
  </si>
  <si>
    <t>NetApp Inc.</t>
  </si>
  <si>
    <t>FAST</t>
  </si>
  <si>
    <t>Fastenal</t>
  </si>
  <si>
    <t>COR</t>
  </si>
  <si>
    <t>Cencora Inc.</t>
  </si>
  <si>
    <t>KR</t>
  </si>
  <si>
    <t>Kroger Co.</t>
  </si>
  <si>
    <t>AME</t>
  </si>
  <si>
    <t>AMETEK Inc.</t>
  </si>
  <si>
    <t>ZBRA</t>
  </si>
  <si>
    <t>Zebra Technologies</t>
  </si>
  <si>
    <t>PRU</t>
  </si>
  <si>
    <t>Prudential Financial</t>
  </si>
  <si>
    <t>XYL</t>
  </si>
  <si>
    <t>Xylem Inc.</t>
  </si>
  <si>
    <t>A</t>
  </si>
  <si>
    <t>Agilent Technologies</t>
  </si>
  <si>
    <t>EBAY</t>
  </si>
  <si>
    <t>eBay Inc.</t>
  </si>
  <si>
    <t>SHW</t>
  </si>
  <si>
    <t>Sherwin-Williams</t>
  </si>
  <si>
    <t>SWKS</t>
  </si>
  <si>
    <t>Skyworks Solutions</t>
  </si>
  <si>
    <t>EFX</t>
  </si>
  <si>
    <t>Equifax Inc.</t>
  </si>
  <si>
    <t>EXC</t>
  </si>
  <si>
    <t>Exelon Corp.</t>
  </si>
  <si>
    <t>HSY</t>
  </si>
  <si>
    <t>Hershey Co.</t>
  </si>
  <si>
    <t>STX</t>
  </si>
  <si>
    <t>Seagate Tech.</t>
  </si>
  <si>
    <t>IQV</t>
  </si>
  <si>
    <t>IQVIA Holdings</t>
  </si>
  <si>
    <t>URI</t>
  </si>
  <si>
    <t>United Rentals</t>
  </si>
  <si>
    <t>LEN</t>
  </si>
  <si>
    <t>Lennar Corp.</t>
  </si>
  <si>
    <t>AIG</t>
  </si>
  <si>
    <t>FIS</t>
  </si>
  <si>
    <t>Fidelity Nat. Info.</t>
  </si>
  <si>
    <t>KDP</t>
  </si>
  <si>
    <t>Keurig Dr Pepper</t>
  </si>
  <si>
    <t>IR</t>
  </si>
  <si>
    <t>Ingersoll Rand</t>
  </si>
  <si>
    <t>MPC</t>
  </si>
  <si>
    <t>Marathon Petroleum</t>
  </si>
  <si>
    <t>GM</t>
  </si>
  <si>
    <t>General Motors</t>
  </si>
  <si>
    <t>ALGN</t>
  </si>
  <si>
    <t>Align Technology</t>
  </si>
  <si>
    <t>DFS</t>
  </si>
  <si>
    <t>Discover Financial</t>
  </si>
  <si>
    <t>JCI</t>
  </si>
  <si>
    <t>Johnson Controls</t>
  </si>
  <si>
    <t>ECL</t>
  </si>
  <si>
    <t>Ecolab Inc.</t>
  </si>
  <si>
    <t>BBY</t>
  </si>
  <si>
    <t>Best Buy Co.</t>
  </si>
  <si>
    <t>HPE</t>
  </si>
  <si>
    <t>Hewlett Packard Ent.</t>
  </si>
  <si>
    <t>LUV</t>
  </si>
  <si>
    <t>Southwest Airlines</t>
  </si>
  <si>
    <t>XEL</t>
  </si>
  <si>
    <t>Xcel Energy</t>
  </si>
  <si>
    <t>CLX</t>
  </si>
  <si>
    <t>Clorox Co.</t>
  </si>
  <si>
    <t>UAL</t>
  </si>
  <si>
    <t>United Airlines</t>
  </si>
  <si>
    <t>CFG</t>
  </si>
  <si>
    <t>Citizens Financial</t>
  </si>
  <si>
    <t>NVR</t>
  </si>
  <si>
    <t>NVR Inc.</t>
  </si>
  <si>
    <t>VMC</t>
  </si>
  <si>
    <t>Vulcan Materials</t>
  </si>
  <si>
    <t>BIO</t>
  </si>
  <si>
    <t>Bio-Rad Labs</t>
  </si>
  <si>
    <t>CHRW</t>
  </si>
  <si>
    <t>C.H. Robinson</t>
  </si>
  <si>
    <t>RCL</t>
  </si>
  <si>
    <t>Royal Caribbean</t>
  </si>
  <si>
    <t>Price
Buy</t>
  </si>
  <si>
    <t>Number of Stock</t>
  </si>
  <si>
    <t>Total</t>
  </si>
  <si>
    <t>% Change</t>
  </si>
  <si>
    <t>Div %</t>
  </si>
  <si>
    <t>Price
Feb</t>
  </si>
  <si>
    <t>Price
Mar</t>
  </si>
  <si>
    <t>Price
Apr</t>
  </si>
  <si>
    <t>ROUND 1</t>
  </si>
  <si>
    <t>ROUND 2</t>
  </si>
  <si>
    <t>Price
May</t>
  </si>
  <si>
    <t>Price
Jun</t>
  </si>
  <si>
    <t>Price
Jul</t>
  </si>
  <si>
    <t>Price
Aug</t>
  </si>
  <si>
    <t>Price
Sep</t>
  </si>
  <si>
    <t>Price
Oct</t>
  </si>
  <si>
    <t>Price
Nov</t>
  </si>
  <si>
    <t>Price
Dec</t>
  </si>
  <si>
    <t>January
(1)</t>
  </si>
  <si>
    <t>February
(2)</t>
  </si>
  <si>
    <t>March
(3)</t>
  </si>
  <si>
    <t>April
(4)</t>
  </si>
  <si>
    <t>May
(5)</t>
  </si>
  <si>
    <t>June
(6)</t>
  </si>
  <si>
    <t>July
(7)</t>
  </si>
  <si>
    <t>August
(8)</t>
  </si>
  <si>
    <t>September
(9)</t>
  </si>
  <si>
    <t>Oktober
(10)</t>
  </si>
  <si>
    <t>November
(11)</t>
  </si>
  <si>
    <t>Desember
(12)</t>
  </si>
  <si>
    <t>ROUND 3</t>
  </si>
  <si>
    <t>ROUND 4</t>
  </si>
  <si>
    <t>ROUND 5</t>
  </si>
  <si>
    <t>ROUND 6</t>
  </si>
  <si>
    <t>ROUND 7</t>
  </si>
  <si>
    <t>ROUND 8</t>
  </si>
  <si>
    <t>SALDO</t>
  </si>
  <si>
    <t>RETURN</t>
  </si>
  <si>
    <t>Avg</t>
  </si>
  <si>
    <t>Return Annual</t>
  </si>
  <si>
    <t>Max 12-15% per stock, sector cap 30%</t>
  </si>
  <si>
    <t>Min 5-10 years</t>
  </si>
  <si>
    <t>Volatility</t>
  </si>
  <si>
    <t>Date</t>
  </si>
  <si>
    <t>Balance</t>
  </si>
  <si>
    <t>Annual Return</t>
  </si>
  <si>
    <t>Average</t>
  </si>
  <si>
    <t>Number of stocks</t>
  </si>
  <si>
    <t>Weighted Limit</t>
  </si>
  <si>
    <t>Monthly Price (close)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</si>
</sst>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&quot;$&quot;#,##0.00"/>
    <numFmt numFmtId="167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3" fontId="0" fillId="0" borderId="0" xfId="1" applyFont="1" applyAlignment="1">
      <alignment horizontal="left"/>
    </xf>
    <xf numFmtId="43" fontId="0" fillId="0" borderId="0" xfId="1" quotePrefix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2" fontId="0" fillId="0" borderId="0" xfId="0" applyNumberFormat="1"/>
    <xf numFmtId="43" fontId="0" fillId="0" borderId="0" xfId="0" applyNumberFormat="1"/>
    <xf numFmtId="10" fontId="0" fillId="0" borderId="0" xfId="3" applyNumberFormat="1" applyFont="1"/>
    <xf numFmtId="10" fontId="0" fillId="0" borderId="0" xfId="3" applyNumberFormat="1" applyFont="1" applyAlignment="1">
      <alignment horizontal="center"/>
    </xf>
    <xf numFmtId="43" fontId="0" fillId="0" borderId="0" xfId="1" applyFont="1"/>
    <xf numFmtId="43" fontId="2" fillId="0" borderId="0" xfId="1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2" fillId="0" borderId="0" xfId="0" applyFont="1" applyAlignment="1">
      <alignment horizontal="left" vertical="center"/>
    </xf>
    <xf numFmtId="43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44" fontId="0" fillId="2" borderId="0" xfId="2" applyFont="1" applyFill="1" applyAlignment="1">
      <alignment horizontal="center"/>
    </xf>
    <xf numFmtId="44" fontId="0" fillId="0" borderId="0" xfId="2" applyFont="1"/>
    <xf numFmtId="44" fontId="0" fillId="2" borderId="0" xfId="2" applyFont="1" applyFill="1"/>
    <xf numFmtId="2" fontId="0" fillId="0" borderId="0" xfId="1" applyNumberFormat="1" applyFont="1" applyAlignment="1">
      <alignment horizontal="center"/>
    </xf>
    <xf numFmtId="10" fontId="2" fillId="0" borderId="0" xfId="3" applyNumberFormat="1" applyFont="1" applyAlignment="1">
      <alignment horizontal="center" vertical="center"/>
    </xf>
    <xf numFmtId="10" fontId="0" fillId="2" borderId="0" xfId="3" applyNumberFormat="1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167" fontId="0" fillId="0" borderId="0" xfId="0" applyNumberForma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Summary!$B$2:$B$13</c:f>
              <c:numCache>
                <c:formatCode>[$-409]dd\-mmm\-yy;@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Summary!$C$2:$C$13</c:f>
              <c:numCache>
                <c:formatCode>_("$"* #,##0.00_);_("$"* \(#,##0.00\);_("$"* "-"??_);_(@_)</c:formatCode>
                <c:ptCount val="12"/>
                <c:pt idx="0">
                  <c:v>9799</c:v>
                </c:pt>
                <c:pt idx="1">
                  <c:v>10166.62916868906</c:v>
                </c:pt>
                <c:pt idx="2">
                  <c:v>10812.167560265829</c:v>
                </c:pt>
                <c:pt idx="3">
                  <c:v>10970.919663986368</c:v>
                </c:pt>
                <c:pt idx="4">
                  <c:v>10264.146135644676</c:v>
                </c:pt>
                <c:pt idx="5">
                  <c:v>10967.638582881593</c:v>
                </c:pt>
                <c:pt idx="6">
                  <c:v>11410.857556541205</c:v>
                </c:pt>
                <c:pt idx="7">
                  <c:v>10835.090798252919</c:v>
                </c:pt>
                <c:pt idx="8">
                  <c:v>11720.463542839245</c:v>
                </c:pt>
                <c:pt idx="9">
                  <c:v>11947.281368821361</c:v>
                </c:pt>
                <c:pt idx="10">
                  <c:v>11701.668838490124</c:v>
                </c:pt>
                <c:pt idx="11">
                  <c:v>12497.17614312849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6B-4740-8CEC-57B745548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4464336"/>
        <c:axId val="1934475856"/>
      </c:lineChart>
      <c:dateAx>
        <c:axId val="1934464336"/>
        <c:scaling>
          <c:orientation val="minMax"/>
        </c:scaling>
        <c:delete val="0"/>
        <c:axPos val="b"/>
        <c:numFmt formatCode="[$-409]dd\-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75856"/>
        <c:crosses val="autoZero"/>
        <c:auto val="1"/>
        <c:lblOffset val="100"/>
        <c:baseTimeUnit val="months"/>
      </c:dateAx>
      <c:valAx>
        <c:axId val="1934475856"/>
        <c:scaling>
          <c:orientation val="minMax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464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1</xdr:row>
      <xdr:rowOff>0</xdr:rowOff>
    </xdr:from>
    <xdr:to>
      <xdr:col>12</xdr:col>
      <xdr:colOff>320040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7F717-B6B4-A0B6-4DF7-90D089E11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E933-F056-480E-A351-976D52E7363D}">
  <dimension ref="A2:D12"/>
  <sheetViews>
    <sheetView zoomScale="115" zoomScaleNormal="115" workbookViewId="0">
      <selection activeCell="G12" sqref="G12"/>
    </sheetView>
  </sheetViews>
  <sheetFormatPr defaultRowHeight="14.4" x14ac:dyDescent="0.3"/>
  <cols>
    <col min="1" max="2" width="2.88671875" style="1" customWidth="1"/>
    <col min="3" max="3" width="19.109375" style="2" customWidth="1"/>
    <col min="4" max="4" width="19.21875" style="5" customWidth="1"/>
  </cols>
  <sheetData>
    <row r="2" spans="1:4" x14ac:dyDescent="0.3">
      <c r="A2" s="1">
        <v>1</v>
      </c>
      <c r="B2" s="3" t="s">
        <v>154</v>
      </c>
    </row>
    <row r="3" spans="1:4" x14ac:dyDescent="0.3">
      <c r="B3" s="1" t="s">
        <v>155</v>
      </c>
      <c r="C3" s="2" t="s">
        <v>147</v>
      </c>
      <c r="D3" s="5" t="s">
        <v>3</v>
      </c>
    </row>
    <row r="4" spans="1:4" x14ac:dyDescent="0.3">
      <c r="B4" s="1" t="s">
        <v>156</v>
      </c>
      <c r="C4" s="2" t="s">
        <v>148</v>
      </c>
      <c r="D4" s="5" t="s">
        <v>149</v>
      </c>
    </row>
    <row r="5" spans="1:4" x14ac:dyDescent="0.3">
      <c r="A5" s="1">
        <v>2</v>
      </c>
      <c r="B5" s="3" t="s">
        <v>157</v>
      </c>
    </row>
    <row r="6" spans="1:4" x14ac:dyDescent="0.3">
      <c r="B6" s="1" t="s">
        <v>155</v>
      </c>
      <c r="C6" s="2" t="s">
        <v>150</v>
      </c>
      <c r="D6" s="5" t="s">
        <v>151</v>
      </c>
    </row>
    <row r="7" spans="1:4" x14ac:dyDescent="0.3">
      <c r="B7" s="1" t="s">
        <v>156</v>
      </c>
      <c r="C7" s="2" t="s">
        <v>456</v>
      </c>
      <c r="D7" s="6" t="s">
        <v>152</v>
      </c>
    </row>
    <row r="8" spans="1:4" x14ac:dyDescent="0.3">
      <c r="B8" s="1" t="s">
        <v>158</v>
      </c>
      <c r="C8" s="2" t="s">
        <v>457</v>
      </c>
      <c r="D8" s="5" t="s">
        <v>449</v>
      </c>
    </row>
    <row r="9" spans="1:4" x14ac:dyDescent="0.3">
      <c r="B9" s="1" t="s">
        <v>159</v>
      </c>
      <c r="C9" s="2" t="s">
        <v>153</v>
      </c>
      <c r="D9" s="5" t="s">
        <v>151</v>
      </c>
    </row>
    <row r="10" spans="1:4" x14ac:dyDescent="0.3">
      <c r="A10" s="1">
        <v>3</v>
      </c>
      <c r="B10" s="7" t="s">
        <v>160</v>
      </c>
    </row>
    <row r="11" spans="1:4" x14ac:dyDescent="0.3">
      <c r="B11" s="1" t="s">
        <v>155</v>
      </c>
      <c r="C11" s="2" t="s">
        <v>458</v>
      </c>
      <c r="D11" s="5" t="s">
        <v>450</v>
      </c>
    </row>
    <row r="12" spans="1:4" x14ac:dyDescent="0.3">
      <c r="B12" s="1" t="s">
        <v>156</v>
      </c>
      <c r="C12" s="2" t="s">
        <v>161</v>
      </c>
      <c r="D12" s="5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A146-A93A-4622-8C47-00258F3381FF}">
  <dimension ref="A1:E17"/>
  <sheetViews>
    <sheetView tabSelected="1" workbookViewId="0">
      <selection activeCell="O12" sqref="O12"/>
    </sheetView>
  </sheetViews>
  <sheetFormatPr defaultRowHeight="14.4" x14ac:dyDescent="0.3"/>
  <cols>
    <col min="1" max="1" width="8.88671875" style="1"/>
    <col min="2" max="2" width="11.44140625" customWidth="1"/>
    <col min="3" max="3" width="14.6640625" customWidth="1"/>
    <col min="4" max="4" width="11.77734375" style="1" customWidth="1"/>
  </cols>
  <sheetData>
    <row r="1" spans="1:5" x14ac:dyDescent="0.3">
      <c r="A1" s="1" t="s">
        <v>0</v>
      </c>
      <c r="B1" s="4" t="s">
        <v>452</v>
      </c>
      <c r="C1" s="4" t="s">
        <v>453</v>
      </c>
      <c r="D1" s="4" t="s">
        <v>412</v>
      </c>
    </row>
    <row r="2" spans="1:5" x14ac:dyDescent="0.3">
      <c r="A2" s="1">
        <v>1</v>
      </c>
      <c r="B2" s="11">
        <v>45292</v>
      </c>
      <c r="C2" s="28">
        <f>'2024'!H114</f>
        <v>9799</v>
      </c>
      <c r="D2" s="12">
        <v>0</v>
      </c>
    </row>
    <row r="3" spans="1:5" x14ac:dyDescent="0.3">
      <c r="A3" s="1">
        <v>2</v>
      </c>
      <c r="B3" s="11">
        <v>45323</v>
      </c>
      <c r="C3" s="30">
        <f>'2024'!J114</f>
        <v>10166.62916868906</v>
      </c>
      <c r="D3" s="21">
        <f>(C3-C2)/C2</f>
        <v>3.7517008744673938E-2</v>
      </c>
      <c r="E3" s="14"/>
    </row>
    <row r="4" spans="1:5" x14ac:dyDescent="0.3">
      <c r="A4" s="1">
        <v>3</v>
      </c>
      <c r="B4" s="11">
        <v>45352</v>
      </c>
      <c r="C4" s="30">
        <f>'2024'!L114</f>
        <v>10812.167560265829</v>
      </c>
      <c r="D4" s="21">
        <f t="shared" ref="D4:D13" si="0">(C4-C3)/C3</f>
        <v>6.3495813692593647E-2</v>
      </c>
    </row>
    <row r="5" spans="1:5" x14ac:dyDescent="0.3">
      <c r="A5" s="1">
        <v>4</v>
      </c>
      <c r="B5" s="11">
        <v>45383</v>
      </c>
      <c r="C5" s="30">
        <f>'2024'!N114</f>
        <v>10970.919663986368</v>
      </c>
      <c r="D5" s="21">
        <f t="shared" si="0"/>
        <v>1.4682726921838021E-2</v>
      </c>
    </row>
    <row r="6" spans="1:5" x14ac:dyDescent="0.3">
      <c r="A6" s="1">
        <v>5</v>
      </c>
      <c r="B6" s="11">
        <v>45413</v>
      </c>
      <c r="C6" s="30">
        <f>'2024'!P114</f>
        <v>10264.146135644676</v>
      </c>
      <c r="D6" s="21">
        <f t="shared" si="0"/>
        <v>-6.4422450440666149E-2</v>
      </c>
    </row>
    <row r="7" spans="1:5" x14ac:dyDescent="0.3">
      <c r="A7" s="1">
        <v>6</v>
      </c>
      <c r="B7" s="11">
        <v>45444</v>
      </c>
      <c r="C7" s="30">
        <f>'2024'!R114</f>
        <v>10967.638582881593</v>
      </c>
      <c r="D7" s="21">
        <f t="shared" si="0"/>
        <v>6.8538818323510872E-2</v>
      </c>
    </row>
    <row r="8" spans="1:5" x14ac:dyDescent="0.3">
      <c r="A8" s="1">
        <v>7</v>
      </c>
      <c r="B8" s="11">
        <v>45474</v>
      </c>
      <c r="C8" s="30">
        <f>'2024'!T114</f>
        <v>11410.857556541205</v>
      </c>
      <c r="D8" s="21">
        <f t="shared" si="0"/>
        <v>4.0411522526954236E-2</v>
      </c>
    </row>
    <row r="9" spans="1:5" x14ac:dyDescent="0.3">
      <c r="A9" s="1">
        <v>8</v>
      </c>
      <c r="B9" s="11">
        <v>45505</v>
      </c>
      <c r="C9" s="30">
        <f>'2024'!V114</f>
        <v>10835.090798252919</v>
      </c>
      <c r="D9" s="21">
        <f t="shared" si="0"/>
        <v>-5.0457799112410363E-2</v>
      </c>
    </row>
    <row r="10" spans="1:5" x14ac:dyDescent="0.3">
      <c r="A10" s="1">
        <v>9</v>
      </c>
      <c r="B10" s="11">
        <v>45536</v>
      </c>
      <c r="C10" s="30">
        <f>'2024'!X114</f>
        <v>11720.463542839245</v>
      </c>
      <c r="D10" s="21">
        <f t="shared" si="0"/>
        <v>8.1713458712232123E-2</v>
      </c>
    </row>
    <row r="11" spans="1:5" x14ac:dyDescent="0.3">
      <c r="A11" s="1">
        <v>10</v>
      </c>
      <c r="B11" s="11">
        <v>45566</v>
      </c>
      <c r="C11" s="30">
        <f>'2024'!Z114</f>
        <v>11947.281368821361</v>
      </c>
      <c r="D11" s="21">
        <f t="shared" si="0"/>
        <v>1.9352291413481947E-2</v>
      </c>
    </row>
    <row r="12" spans="1:5" x14ac:dyDescent="0.3">
      <c r="A12" s="1">
        <v>11</v>
      </c>
      <c r="B12" s="11">
        <v>45597</v>
      </c>
      <c r="C12" s="30">
        <f>'2024'!AB114</f>
        <v>11701.668838490124</v>
      </c>
      <c r="D12" s="21">
        <f t="shared" si="0"/>
        <v>-2.0558026780235359E-2</v>
      </c>
    </row>
    <row r="13" spans="1:5" x14ac:dyDescent="0.3">
      <c r="A13" s="1">
        <v>12</v>
      </c>
      <c r="B13" s="11">
        <v>45627</v>
      </c>
      <c r="C13" s="30">
        <f>'2024'!AD114</f>
        <v>12497.17614312849</v>
      </c>
      <c r="D13" s="21">
        <f t="shared" si="0"/>
        <v>6.7982380600424747E-2</v>
      </c>
    </row>
    <row r="15" spans="1:5" x14ac:dyDescent="0.3">
      <c r="C15" s="1" t="s">
        <v>454</v>
      </c>
      <c r="D15" s="15">
        <f>(C13-C2)/C2</f>
        <v>0.2753521934001929</v>
      </c>
    </row>
    <row r="16" spans="1:5" x14ac:dyDescent="0.3">
      <c r="C16" s="1" t="s">
        <v>455</v>
      </c>
      <c r="D16" s="37">
        <f>AVERAGE(D2:D13)</f>
        <v>2.1521312050199803E-2</v>
      </c>
    </row>
    <row r="17" spans="3:4" x14ac:dyDescent="0.3">
      <c r="C17" s="1" t="s">
        <v>451</v>
      </c>
      <c r="D17" s="15">
        <f>'2024'!H118</f>
        <v>4.5205783984316829E-2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998B7-7EEC-4B20-A947-93999589EDFD}">
  <dimension ref="A1:F201"/>
  <sheetViews>
    <sheetView topLeftCell="A193" workbookViewId="0">
      <selection activeCell="I12" sqref="I12"/>
    </sheetView>
  </sheetViews>
  <sheetFormatPr defaultRowHeight="14.4" customHeight="1" x14ac:dyDescent="0.3"/>
  <cols>
    <col min="1" max="1" width="5.109375" style="1" customWidth="1"/>
    <col min="2" max="2" width="12.5546875" style="1" customWidth="1"/>
    <col min="3" max="3" width="9.109375" style="1" customWidth="1"/>
    <col min="4" max="4" width="30" style="1" customWidth="1"/>
    <col min="5" max="5" width="24.88671875" style="1" customWidth="1"/>
    <col min="6" max="6" width="13.6640625" style="1" customWidth="1"/>
  </cols>
  <sheetData>
    <row r="1" spans="1:6" ht="14.4" customHeight="1" x14ac:dyDescent="0.3">
      <c r="A1" s="9" t="s">
        <v>0</v>
      </c>
      <c r="B1" s="9" t="s">
        <v>1</v>
      </c>
      <c r="C1" s="9" t="s">
        <v>164</v>
      </c>
      <c r="D1" s="9" t="s">
        <v>2</v>
      </c>
      <c r="E1" s="9" t="s">
        <v>163</v>
      </c>
      <c r="F1" s="9" t="s">
        <v>165</v>
      </c>
    </row>
    <row r="2" spans="1:6" ht="14.4" customHeight="1" x14ac:dyDescent="0.3">
      <c r="A2" s="10">
        <v>1</v>
      </c>
      <c r="B2" s="10" t="s">
        <v>3</v>
      </c>
      <c r="C2" s="10" t="s">
        <v>5</v>
      </c>
      <c r="D2" s="10" t="s">
        <v>6</v>
      </c>
      <c r="E2" s="10" t="s">
        <v>4</v>
      </c>
      <c r="F2" s="10">
        <v>4150</v>
      </c>
    </row>
    <row r="3" spans="1:6" ht="14.4" customHeight="1" x14ac:dyDescent="0.3">
      <c r="A3" s="10">
        <v>2</v>
      </c>
      <c r="B3" s="10" t="s">
        <v>3</v>
      </c>
      <c r="C3" s="10" t="s">
        <v>7</v>
      </c>
      <c r="D3" s="10" t="s">
        <v>8</v>
      </c>
      <c r="E3" s="10" t="s">
        <v>4</v>
      </c>
      <c r="F3" s="10">
        <v>4020</v>
      </c>
    </row>
    <row r="4" spans="1:6" ht="14.4" customHeight="1" x14ac:dyDescent="0.3">
      <c r="A4" s="10">
        <v>3</v>
      </c>
      <c r="B4" s="10" t="s">
        <v>3</v>
      </c>
      <c r="C4" s="10" t="s">
        <v>9</v>
      </c>
      <c r="D4" s="10" t="s">
        <v>10</v>
      </c>
      <c r="E4" s="10" t="s">
        <v>4</v>
      </c>
      <c r="F4" s="10">
        <v>3710</v>
      </c>
    </row>
    <row r="5" spans="1:6" ht="14.4" customHeight="1" x14ac:dyDescent="0.3">
      <c r="A5" s="10">
        <v>4</v>
      </c>
      <c r="B5" s="10" t="s">
        <v>3</v>
      </c>
      <c r="C5" s="10" t="s">
        <v>11</v>
      </c>
      <c r="D5" s="10" t="s">
        <v>10</v>
      </c>
      <c r="E5" s="10" t="s">
        <v>4</v>
      </c>
      <c r="F5" s="10">
        <v>3580</v>
      </c>
    </row>
    <row r="6" spans="1:6" ht="14.4" customHeight="1" x14ac:dyDescent="0.3">
      <c r="A6" s="10">
        <v>5</v>
      </c>
      <c r="B6" s="10" t="s">
        <v>3</v>
      </c>
      <c r="C6" s="10" t="s">
        <v>12</v>
      </c>
      <c r="D6" s="10" t="s">
        <v>13</v>
      </c>
      <c r="E6" s="10" t="s">
        <v>4</v>
      </c>
      <c r="F6" s="10">
        <v>3540</v>
      </c>
    </row>
    <row r="7" spans="1:6" ht="14.4" customHeight="1" x14ac:dyDescent="0.3">
      <c r="A7" s="10">
        <v>6</v>
      </c>
      <c r="B7" s="10" t="s">
        <v>3</v>
      </c>
      <c r="C7" s="10" t="s">
        <v>15</v>
      </c>
      <c r="D7" s="10" t="s">
        <v>166</v>
      </c>
      <c r="E7" s="10" t="s">
        <v>14</v>
      </c>
      <c r="F7" s="10">
        <v>2370</v>
      </c>
    </row>
    <row r="8" spans="1:6" ht="14.4" customHeight="1" x14ac:dyDescent="0.3">
      <c r="A8" s="10">
        <v>7</v>
      </c>
      <c r="B8" s="10" t="s">
        <v>3</v>
      </c>
      <c r="C8" s="10" t="s">
        <v>16</v>
      </c>
      <c r="D8" s="10" t="s">
        <v>167</v>
      </c>
      <c r="E8" s="10" t="s">
        <v>4</v>
      </c>
      <c r="F8" s="10">
        <v>1640</v>
      </c>
    </row>
    <row r="9" spans="1:6" ht="14.4" customHeight="1" x14ac:dyDescent="0.3">
      <c r="A9" s="10">
        <v>8</v>
      </c>
      <c r="B9" s="10" t="s">
        <v>3</v>
      </c>
      <c r="C9" s="10" t="s">
        <v>17</v>
      </c>
      <c r="D9" s="10" t="s">
        <v>168</v>
      </c>
      <c r="E9" s="10" t="s">
        <v>14</v>
      </c>
      <c r="F9" s="10">
        <v>1550</v>
      </c>
    </row>
    <row r="10" spans="1:6" ht="14.4" customHeight="1" x14ac:dyDescent="0.3">
      <c r="A10" s="10">
        <v>9</v>
      </c>
      <c r="B10" s="10" t="s">
        <v>3</v>
      </c>
      <c r="C10" s="10" t="s">
        <v>18</v>
      </c>
      <c r="D10" s="10" t="s">
        <v>19</v>
      </c>
      <c r="E10" s="10" t="s">
        <v>4</v>
      </c>
      <c r="F10" s="10">
        <v>1540</v>
      </c>
    </row>
    <row r="11" spans="1:6" ht="14.4" customHeight="1" x14ac:dyDescent="0.3">
      <c r="A11" s="10">
        <v>10</v>
      </c>
      <c r="B11" s="10" t="s">
        <v>3</v>
      </c>
      <c r="C11" s="10" t="s">
        <v>21</v>
      </c>
      <c r="D11" s="10" t="s">
        <v>22</v>
      </c>
      <c r="E11" s="10" t="s">
        <v>20</v>
      </c>
      <c r="F11" s="10">
        <v>1090</v>
      </c>
    </row>
    <row r="12" spans="1:6" ht="14.4" customHeight="1" x14ac:dyDescent="0.3">
      <c r="A12" s="10">
        <v>11</v>
      </c>
      <c r="B12" s="10" t="s">
        <v>3</v>
      </c>
      <c r="C12" s="10" t="s">
        <v>24</v>
      </c>
      <c r="D12" s="10" t="s">
        <v>25</v>
      </c>
      <c r="E12" s="10" t="s">
        <v>23</v>
      </c>
      <c r="F12" s="10">
        <v>933</v>
      </c>
    </row>
    <row r="13" spans="1:6" ht="14.4" customHeight="1" x14ac:dyDescent="0.3">
      <c r="A13" s="10">
        <v>12</v>
      </c>
      <c r="B13" s="10" t="s">
        <v>3</v>
      </c>
      <c r="C13" s="10" t="s">
        <v>27</v>
      </c>
      <c r="D13" s="10" t="s">
        <v>28</v>
      </c>
      <c r="E13" s="10" t="s">
        <v>26</v>
      </c>
      <c r="F13" s="10">
        <v>922</v>
      </c>
    </row>
    <row r="14" spans="1:6" ht="14.4" customHeight="1" x14ac:dyDescent="0.3">
      <c r="A14" s="10">
        <v>13</v>
      </c>
      <c r="B14" s="10" t="s">
        <v>3</v>
      </c>
      <c r="C14" s="10" t="s">
        <v>29</v>
      </c>
      <c r="D14" s="10" t="s">
        <v>30</v>
      </c>
      <c r="E14" s="10" t="s">
        <v>20</v>
      </c>
      <c r="F14" s="10">
        <v>857</v>
      </c>
    </row>
    <row r="15" spans="1:6" ht="14.4" customHeight="1" x14ac:dyDescent="0.3">
      <c r="A15" s="10">
        <v>14</v>
      </c>
      <c r="B15" s="10" t="s">
        <v>3</v>
      </c>
      <c r="C15" s="10" t="s">
        <v>31</v>
      </c>
      <c r="D15" s="10" t="s">
        <v>32</v>
      </c>
      <c r="E15" s="10" t="s">
        <v>20</v>
      </c>
      <c r="F15" s="10">
        <v>659</v>
      </c>
    </row>
    <row r="16" spans="1:6" ht="14.4" customHeight="1" x14ac:dyDescent="0.3">
      <c r="A16" s="10">
        <v>15</v>
      </c>
      <c r="B16" s="10" t="s">
        <v>3</v>
      </c>
      <c r="C16" s="10" t="s">
        <v>33</v>
      </c>
      <c r="D16" s="10" t="s">
        <v>34</v>
      </c>
      <c r="E16" s="10" t="s">
        <v>4</v>
      </c>
      <c r="F16" s="10">
        <v>513</v>
      </c>
    </row>
    <row r="17" spans="1:6" ht="14.4" customHeight="1" x14ac:dyDescent="0.3">
      <c r="A17" s="10">
        <v>16</v>
      </c>
      <c r="B17" s="10" t="s">
        <v>3</v>
      </c>
      <c r="C17" s="10" t="s">
        <v>35</v>
      </c>
      <c r="D17" s="10" t="s">
        <v>169</v>
      </c>
      <c r="E17" s="10" t="s">
        <v>4</v>
      </c>
      <c r="F17" s="10">
        <v>508</v>
      </c>
    </row>
    <row r="18" spans="1:6" ht="14.4" customHeight="1" x14ac:dyDescent="0.3">
      <c r="A18" s="10">
        <v>17</v>
      </c>
      <c r="B18" s="10" t="s">
        <v>3</v>
      </c>
      <c r="C18" s="10" t="s">
        <v>36</v>
      </c>
      <c r="D18" s="10" t="s">
        <v>37</v>
      </c>
      <c r="E18" s="10" t="s">
        <v>23</v>
      </c>
      <c r="F18" s="10">
        <v>507</v>
      </c>
    </row>
    <row r="19" spans="1:6" ht="14.4" customHeight="1" x14ac:dyDescent="0.3">
      <c r="A19" s="10">
        <v>18</v>
      </c>
      <c r="B19" s="10" t="s">
        <v>3</v>
      </c>
      <c r="C19" s="10" t="s">
        <v>39</v>
      </c>
      <c r="D19" s="10" t="s">
        <v>40</v>
      </c>
      <c r="E19" s="10" t="s">
        <v>38</v>
      </c>
      <c r="F19" s="10">
        <v>495</v>
      </c>
    </row>
    <row r="20" spans="1:6" ht="14.4" customHeight="1" x14ac:dyDescent="0.3">
      <c r="A20" s="10">
        <v>19</v>
      </c>
      <c r="B20" s="10" t="s">
        <v>3</v>
      </c>
      <c r="C20" s="10" t="s">
        <v>41</v>
      </c>
      <c r="D20" s="10" t="s">
        <v>170</v>
      </c>
      <c r="E20" s="10" t="s">
        <v>14</v>
      </c>
      <c r="F20" s="10">
        <v>433</v>
      </c>
    </row>
    <row r="21" spans="1:6" ht="14.4" customHeight="1" x14ac:dyDescent="0.3">
      <c r="A21" s="10">
        <v>20</v>
      </c>
      <c r="B21" s="10" t="s">
        <v>3</v>
      </c>
      <c r="C21" s="10" t="s">
        <v>42</v>
      </c>
      <c r="D21" s="10" t="s">
        <v>171</v>
      </c>
      <c r="E21" s="10" t="s">
        <v>4</v>
      </c>
      <c r="F21" s="10">
        <v>423</v>
      </c>
    </row>
    <row r="22" spans="1:6" ht="14.4" customHeight="1" x14ac:dyDescent="0.3">
      <c r="A22" s="10">
        <v>21</v>
      </c>
      <c r="B22" s="10" t="s">
        <v>3</v>
      </c>
      <c r="C22" s="10" t="s">
        <v>43</v>
      </c>
      <c r="D22" s="10" t="s">
        <v>172</v>
      </c>
      <c r="E22" s="10" t="s">
        <v>20</v>
      </c>
      <c r="F22" s="10">
        <v>398</v>
      </c>
    </row>
    <row r="23" spans="1:6" ht="14.4" customHeight="1" x14ac:dyDescent="0.3">
      <c r="A23" s="10">
        <v>22</v>
      </c>
      <c r="B23" s="10" t="s">
        <v>3</v>
      </c>
      <c r="C23" s="10" t="s">
        <v>44</v>
      </c>
      <c r="D23" s="10" t="s">
        <v>45</v>
      </c>
      <c r="E23" s="10" t="s">
        <v>23</v>
      </c>
      <c r="F23" s="10">
        <v>396</v>
      </c>
    </row>
    <row r="24" spans="1:6" ht="14.4" customHeight="1" x14ac:dyDescent="0.3">
      <c r="A24" s="10">
        <v>23</v>
      </c>
      <c r="B24" s="10" t="s">
        <v>3</v>
      </c>
      <c r="C24" s="10" t="s">
        <v>46</v>
      </c>
      <c r="D24" s="10" t="s">
        <v>173</v>
      </c>
      <c r="E24" s="10" t="s">
        <v>26</v>
      </c>
      <c r="F24" s="10">
        <v>383</v>
      </c>
    </row>
    <row r="25" spans="1:6" ht="14.4" customHeight="1" x14ac:dyDescent="0.3">
      <c r="A25" s="10">
        <v>24</v>
      </c>
      <c r="B25" s="10" t="s">
        <v>3</v>
      </c>
      <c r="C25" s="10" t="s">
        <v>47</v>
      </c>
      <c r="D25" s="10" t="s">
        <v>174</v>
      </c>
      <c r="E25" s="10" t="s">
        <v>14</v>
      </c>
      <c r="F25" s="10">
        <v>355</v>
      </c>
    </row>
    <row r="26" spans="1:6" ht="14.4" customHeight="1" x14ac:dyDescent="0.3">
      <c r="A26" s="10">
        <v>25</v>
      </c>
      <c r="B26" s="10" t="s">
        <v>3</v>
      </c>
      <c r="C26" s="10" t="s">
        <v>48</v>
      </c>
      <c r="D26" s="10" t="s">
        <v>175</v>
      </c>
      <c r="E26" s="10" t="s">
        <v>26</v>
      </c>
      <c r="F26" s="10">
        <v>345</v>
      </c>
    </row>
    <row r="27" spans="1:6" ht="14.4" customHeight="1" x14ac:dyDescent="0.3">
      <c r="A27" s="10">
        <v>26</v>
      </c>
      <c r="B27" s="10" t="s">
        <v>3</v>
      </c>
      <c r="C27" s="10" t="s">
        <v>49</v>
      </c>
      <c r="D27" s="10" t="s">
        <v>176</v>
      </c>
      <c r="E27" s="10" t="s">
        <v>4</v>
      </c>
      <c r="F27" s="10">
        <v>323</v>
      </c>
    </row>
    <row r="28" spans="1:6" ht="14.4" customHeight="1" x14ac:dyDescent="0.3">
      <c r="A28" s="10">
        <v>27</v>
      </c>
      <c r="B28" s="10" t="s">
        <v>3</v>
      </c>
      <c r="C28" s="10" t="s">
        <v>51</v>
      </c>
      <c r="D28" s="10" t="s">
        <v>52</v>
      </c>
      <c r="E28" s="10" t="s">
        <v>50</v>
      </c>
      <c r="F28" s="10">
        <v>308</v>
      </c>
    </row>
    <row r="29" spans="1:6" ht="14.4" customHeight="1" x14ac:dyDescent="0.3">
      <c r="A29" s="10">
        <v>28</v>
      </c>
      <c r="B29" s="10" t="s">
        <v>3</v>
      </c>
      <c r="C29" s="10" t="s">
        <v>53</v>
      </c>
      <c r="D29" s="10" t="s">
        <v>177</v>
      </c>
      <c r="E29" s="10" t="s">
        <v>26</v>
      </c>
      <c r="F29" s="10">
        <v>304</v>
      </c>
    </row>
    <row r="30" spans="1:6" ht="14.4" customHeight="1" x14ac:dyDescent="0.3">
      <c r="A30" s="10">
        <v>29</v>
      </c>
      <c r="B30" s="10" t="s">
        <v>3</v>
      </c>
      <c r="C30" s="10" t="s">
        <v>54</v>
      </c>
      <c r="D30" s="10" t="s">
        <v>55</v>
      </c>
      <c r="E30" s="10" t="s">
        <v>38</v>
      </c>
      <c r="F30" s="10">
        <v>301</v>
      </c>
    </row>
    <row r="31" spans="1:6" ht="14.4" customHeight="1" x14ac:dyDescent="0.3">
      <c r="A31" s="10">
        <v>30</v>
      </c>
      <c r="B31" s="10" t="s">
        <v>3</v>
      </c>
      <c r="C31" s="10" t="s">
        <v>56</v>
      </c>
      <c r="D31" s="10" t="s">
        <v>178</v>
      </c>
      <c r="E31" s="10" t="s">
        <v>23</v>
      </c>
      <c r="F31" s="10">
        <v>300</v>
      </c>
    </row>
    <row r="32" spans="1:6" ht="14.4" customHeight="1" x14ac:dyDescent="0.3">
      <c r="A32" s="10">
        <v>31</v>
      </c>
      <c r="B32" s="10" t="s">
        <v>3</v>
      </c>
      <c r="C32" s="10" t="s">
        <v>57</v>
      </c>
      <c r="D32" s="10" t="s">
        <v>179</v>
      </c>
      <c r="E32" s="10" t="s">
        <v>4</v>
      </c>
      <c r="F32" s="10">
        <v>300</v>
      </c>
    </row>
    <row r="33" spans="1:6" ht="14.4" customHeight="1" x14ac:dyDescent="0.3">
      <c r="A33" s="10">
        <v>32</v>
      </c>
      <c r="B33" s="10" t="s">
        <v>3</v>
      </c>
      <c r="C33" s="10" t="s">
        <v>58</v>
      </c>
      <c r="D33" s="10" t="s">
        <v>59</v>
      </c>
      <c r="E33" s="10" t="s">
        <v>20</v>
      </c>
      <c r="F33" s="10">
        <v>291</v>
      </c>
    </row>
    <row r="34" spans="1:6" ht="14.4" customHeight="1" x14ac:dyDescent="0.3">
      <c r="A34" s="10">
        <v>33</v>
      </c>
      <c r="B34" s="10" t="s">
        <v>3</v>
      </c>
      <c r="C34" s="10" t="s">
        <v>60</v>
      </c>
      <c r="D34" s="10" t="s">
        <v>180</v>
      </c>
      <c r="E34" s="10" t="s">
        <v>4</v>
      </c>
      <c r="F34" s="10">
        <v>284</v>
      </c>
    </row>
    <row r="35" spans="1:6" ht="14.4" customHeight="1" x14ac:dyDescent="0.3">
      <c r="A35" s="10">
        <v>34</v>
      </c>
      <c r="B35" s="10" t="s">
        <v>3</v>
      </c>
      <c r="C35" s="10" t="s">
        <v>61</v>
      </c>
      <c r="D35" s="10" t="s">
        <v>62</v>
      </c>
      <c r="E35" s="10" t="s">
        <v>20</v>
      </c>
      <c r="F35" s="10">
        <v>278</v>
      </c>
    </row>
    <row r="36" spans="1:6" ht="14.4" customHeight="1" x14ac:dyDescent="0.3">
      <c r="A36" s="10">
        <v>35</v>
      </c>
      <c r="B36" s="10" t="s">
        <v>3</v>
      </c>
      <c r="C36" s="10" t="s">
        <v>63</v>
      </c>
      <c r="D36" s="10" t="s">
        <v>181</v>
      </c>
      <c r="E36" s="10" t="s">
        <v>20</v>
      </c>
      <c r="F36" s="10">
        <v>274</v>
      </c>
    </row>
    <row r="37" spans="1:6" ht="14.4" customHeight="1" x14ac:dyDescent="0.3">
      <c r="A37" s="10">
        <v>36</v>
      </c>
      <c r="B37" s="10" t="s">
        <v>3</v>
      </c>
      <c r="C37" s="10" t="s">
        <v>64</v>
      </c>
      <c r="D37" s="10" t="s">
        <v>65</v>
      </c>
      <c r="E37" s="10" t="s">
        <v>50</v>
      </c>
      <c r="F37" s="10">
        <v>263</v>
      </c>
    </row>
    <row r="38" spans="1:6" ht="14.4" customHeight="1" x14ac:dyDescent="0.3">
      <c r="A38" s="10">
        <v>37</v>
      </c>
      <c r="B38" s="10" t="s">
        <v>3</v>
      </c>
      <c r="C38" s="10" t="s">
        <v>66</v>
      </c>
      <c r="D38" s="10" t="s">
        <v>182</v>
      </c>
      <c r="E38" s="10" t="s">
        <v>20</v>
      </c>
      <c r="F38" s="10">
        <v>259</v>
      </c>
    </row>
    <row r="39" spans="1:6" ht="14.4" customHeight="1" x14ac:dyDescent="0.3">
      <c r="A39" s="10">
        <v>38</v>
      </c>
      <c r="B39" s="10" t="s">
        <v>3</v>
      </c>
      <c r="C39" s="10" t="s">
        <v>67</v>
      </c>
      <c r="D39" s="10" t="s">
        <v>183</v>
      </c>
      <c r="E39" s="10" t="s">
        <v>4</v>
      </c>
      <c r="F39" s="10">
        <v>253</v>
      </c>
    </row>
    <row r="40" spans="1:6" ht="14.4" customHeight="1" x14ac:dyDescent="0.3">
      <c r="A40" s="10">
        <v>39</v>
      </c>
      <c r="B40" s="10" t="s">
        <v>3</v>
      </c>
      <c r="C40" s="10" t="s">
        <v>68</v>
      </c>
      <c r="D40" s="10" t="s">
        <v>184</v>
      </c>
      <c r="E40" s="10" t="s">
        <v>26</v>
      </c>
      <c r="F40" s="10">
        <v>247</v>
      </c>
    </row>
    <row r="41" spans="1:6" ht="14.4" customHeight="1" x14ac:dyDescent="0.3">
      <c r="A41" s="10">
        <v>40</v>
      </c>
      <c r="B41" s="10" t="s">
        <v>3</v>
      </c>
      <c r="C41" s="10" t="s">
        <v>69</v>
      </c>
      <c r="D41" s="10" t="s">
        <v>185</v>
      </c>
      <c r="E41" s="10" t="s">
        <v>23</v>
      </c>
      <c r="F41" s="10">
        <v>246</v>
      </c>
    </row>
    <row r="42" spans="1:6" ht="14.4" customHeight="1" x14ac:dyDescent="0.3">
      <c r="A42" s="10">
        <v>41</v>
      </c>
      <c r="B42" s="10" t="s">
        <v>3</v>
      </c>
      <c r="C42" s="10" t="s">
        <v>70</v>
      </c>
      <c r="D42" s="10" t="s">
        <v>186</v>
      </c>
      <c r="E42" s="10" t="s">
        <v>4</v>
      </c>
      <c r="F42" s="10">
        <v>242</v>
      </c>
    </row>
    <row r="43" spans="1:6" ht="14.4" customHeight="1" x14ac:dyDescent="0.3">
      <c r="A43" s="10">
        <v>42</v>
      </c>
      <c r="B43" s="10" t="s">
        <v>3</v>
      </c>
      <c r="C43" s="10" t="s">
        <v>71</v>
      </c>
      <c r="D43" s="10" t="s">
        <v>72</v>
      </c>
      <c r="E43" s="10" t="s">
        <v>50</v>
      </c>
      <c r="F43" s="10">
        <v>238</v>
      </c>
    </row>
    <row r="44" spans="1:6" ht="14.4" customHeight="1" x14ac:dyDescent="0.3">
      <c r="A44" s="10">
        <v>43</v>
      </c>
      <c r="B44" s="10" t="s">
        <v>3</v>
      </c>
      <c r="C44" s="10" t="s">
        <v>73</v>
      </c>
      <c r="D44" s="10" t="s">
        <v>187</v>
      </c>
      <c r="E44" s="10" t="s">
        <v>14</v>
      </c>
      <c r="F44" s="10">
        <v>227</v>
      </c>
    </row>
    <row r="45" spans="1:6" ht="14.4" customHeight="1" x14ac:dyDescent="0.3">
      <c r="A45" s="10">
        <v>44</v>
      </c>
      <c r="B45" s="10" t="s">
        <v>3</v>
      </c>
      <c r="C45" s="10" t="s">
        <v>75</v>
      </c>
      <c r="D45" s="10" t="s">
        <v>76</v>
      </c>
      <c r="E45" s="10" t="s">
        <v>23</v>
      </c>
      <c r="F45" s="10">
        <v>220</v>
      </c>
    </row>
    <row r="46" spans="1:6" ht="14.4" customHeight="1" x14ac:dyDescent="0.3">
      <c r="A46" s="10">
        <v>45</v>
      </c>
      <c r="B46" s="10" t="s">
        <v>3</v>
      </c>
      <c r="C46" s="10" t="s">
        <v>74</v>
      </c>
      <c r="D46" s="10" t="s">
        <v>188</v>
      </c>
      <c r="E46" s="10" t="s">
        <v>4</v>
      </c>
      <c r="F46" s="10">
        <v>223</v>
      </c>
    </row>
    <row r="47" spans="1:6" ht="14.4" customHeight="1" x14ac:dyDescent="0.3">
      <c r="A47" s="10">
        <v>46</v>
      </c>
      <c r="B47" s="10" t="s">
        <v>3</v>
      </c>
      <c r="C47" s="10" t="s">
        <v>77</v>
      </c>
      <c r="D47" s="10" t="s">
        <v>189</v>
      </c>
      <c r="E47" s="10" t="s">
        <v>26</v>
      </c>
      <c r="F47" s="10">
        <v>208</v>
      </c>
    </row>
    <row r="48" spans="1:6" ht="14.4" customHeight="1" x14ac:dyDescent="0.3">
      <c r="A48" s="10">
        <v>47</v>
      </c>
      <c r="B48" s="10" t="s">
        <v>3</v>
      </c>
      <c r="C48" s="10" t="s">
        <v>78</v>
      </c>
      <c r="D48" s="10" t="s">
        <v>79</v>
      </c>
      <c r="E48" s="10" t="s">
        <v>20</v>
      </c>
      <c r="F48" s="10">
        <v>199</v>
      </c>
    </row>
    <row r="49" spans="1:6" ht="14.4" customHeight="1" x14ac:dyDescent="0.3">
      <c r="A49" s="10">
        <v>48</v>
      </c>
      <c r="B49" s="10" t="s">
        <v>3</v>
      </c>
      <c r="C49" s="10" t="s">
        <v>81</v>
      </c>
      <c r="D49" s="10" t="s">
        <v>190</v>
      </c>
      <c r="E49" s="10" t="s">
        <v>80</v>
      </c>
      <c r="F49" s="10">
        <v>198</v>
      </c>
    </row>
    <row r="50" spans="1:6" ht="14.4" customHeight="1" x14ac:dyDescent="0.3">
      <c r="A50" s="10">
        <v>49</v>
      </c>
      <c r="B50" s="10" t="s">
        <v>3</v>
      </c>
      <c r="C50" s="10" t="s">
        <v>82</v>
      </c>
      <c r="D50" s="10" t="s">
        <v>191</v>
      </c>
      <c r="E50" s="10" t="s">
        <v>23</v>
      </c>
      <c r="F50" s="10">
        <v>197</v>
      </c>
    </row>
    <row r="51" spans="1:6" ht="14.4" customHeight="1" x14ac:dyDescent="0.3">
      <c r="A51" s="10">
        <v>50</v>
      </c>
      <c r="B51" s="10" t="s">
        <v>3</v>
      </c>
      <c r="C51" s="10" t="s">
        <v>84</v>
      </c>
      <c r="D51" s="10" t="s">
        <v>85</v>
      </c>
      <c r="E51" s="10" t="s">
        <v>83</v>
      </c>
      <c r="F51" s="10">
        <v>197</v>
      </c>
    </row>
    <row r="52" spans="1:6" ht="14.4" customHeight="1" x14ac:dyDescent="0.3">
      <c r="A52" s="10">
        <v>51</v>
      </c>
      <c r="B52" s="10" t="s">
        <v>3</v>
      </c>
      <c r="C52" s="10" t="s">
        <v>86</v>
      </c>
      <c r="D52" s="10" t="s">
        <v>192</v>
      </c>
      <c r="E52" s="10" t="s">
        <v>4</v>
      </c>
      <c r="F52" s="10">
        <v>197</v>
      </c>
    </row>
    <row r="53" spans="1:6" ht="14.4" customHeight="1" x14ac:dyDescent="0.3">
      <c r="A53" s="10">
        <v>52</v>
      </c>
      <c r="B53" s="10" t="s">
        <v>3</v>
      </c>
      <c r="C53" s="10" t="s">
        <v>87</v>
      </c>
      <c r="D53" s="10" t="s">
        <v>193</v>
      </c>
      <c r="E53" s="10" t="s">
        <v>4</v>
      </c>
      <c r="F53" s="10">
        <v>195</v>
      </c>
    </row>
    <row r="54" spans="1:6" ht="14.4" customHeight="1" x14ac:dyDescent="0.3">
      <c r="A54" s="10">
        <v>53</v>
      </c>
      <c r="B54" s="10" t="s">
        <v>3</v>
      </c>
      <c r="C54" s="10" t="s">
        <v>88</v>
      </c>
      <c r="D54" s="10" t="s">
        <v>89</v>
      </c>
      <c r="E54" s="10" t="s">
        <v>20</v>
      </c>
      <c r="F54" s="10">
        <v>188</v>
      </c>
    </row>
    <row r="55" spans="1:6" ht="14.4" customHeight="1" x14ac:dyDescent="0.3">
      <c r="A55" s="10">
        <v>54</v>
      </c>
      <c r="B55" s="10" t="s">
        <v>3</v>
      </c>
      <c r="C55" s="10" t="s">
        <v>90</v>
      </c>
      <c r="D55" s="10" t="s">
        <v>91</v>
      </c>
      <c r="E55" s="10" t="s">
        <v>4</v>
      </c>
      <c r="F55" s="10">
        <v>184</v>
      </c>
    </row>
    <row r="56" spans="1:6" ht="14.4" customHeight="1" x14ac:dyDescent="0.3">
      <c r="A56" s="10">
        <v>55</v>
      </c>
      <c r="B56" s="10" t="s">
        <v>3</v>
      </c>
      <c r="C56" s="10" t="s">
        <v>92</v>
      </c>
      <c r="D56" s="10" t="s">
        <v>194</v>
      </c>
      <c r="E56" s="10" t="s">
        <v>4</v>
      </c>
      <c r="F56" s="10">
        <v>183</v>
      </c>
    </row>
    <row r="57" spans="1:6" ht="14.4" customHeight="1" x14ac:dyDescent="0.3">
      <c r="A57" s="10">
        <v>56</v>
      </c>
      <c r="B57" s="10" t="s">
        <v>3</v>
      </c>
      <c r="C57" s="10" t="s">
        <v>93</v>
      </c>
      <c r="D57" s="10" t="s">
        <v>94</v>
      </c>
      <c r="E57" s="10" t="s">
        <v>23</v>
      </c>
      <c r="F57" s="10">
        <v>176</v>
      </c>
    </row>
    <row r="58" spans="1:6" ht="14.4" customHeight="1" x14ac:dyDescent="0.3">
      <c r="A58" s="10">
        <v>57</v>
      </c>
      <c r="B58" s="10" t="s">
        <v>3</v>
      </c>
      <c r="C58" s="10" t="s">
        <v>95</v>
      </c>
      <c r="D58" s="10" t="s">
        <v>195</v>
      </c>
      <c r="E58" s="10" t="s">
        <v>20</v>
      </c>
      <c r="F58" s="10">
        <v>174</v>
      </c>
    </row>
    <row r="59" spans="1:6" ht="14.4" customHeight="1" x14ac:dyDescent="0.3">
      <c r="A59" s="10">
        <v>58</v>
      </c>
      <c r="B59" s="10" t="s">
        <v>3</v>
      </c>
      <c r="C59" s="10" t="s">
        <v>96</v>
      </c>
      <c r="D59" s="10" t="s">
        <v>196</v>
      </c>
      <c r="E59" s="10" t="s">
        <v>14</v>
      </c>
      <c r="F59" s="10">
        <v>173</v>
      </c>
    </row>
    <row r="60" spans="1:6" ht="14.4" customHeight="1" x14ac:dyDescent="0.3">
      <c r="A60" s="10">
        <v>59</v>
      </c>
      <c r="B60" s="10" t="s">
        <v>3</v>
      </c>
      <c r="C60" s="10" t="s">
        <v>97</v>
      </c>
      <c r="D60" s="10" t="s">
        <v>98</v>
      </c>
      <c r="E60" s="10" t="s">
        <v>80</v>
      </c>
      <c r="F60" s="10">
        <v>173</v>
      </c>
    </row>
    <row r="61" spans="1:6" ht="14.4" customHeight="1" x14ac:dyDescent="0.3">
      <c r="A61" s="10">
        <v>60</v>
      </c>
      <c r="B61" s="10" t="s">
        <v>3</v>
      </c>
      <c r="C61" s="10" t="s">
        <v>99</v>
      </c>
      <c r="D61" s="10" t="s">
        <v>197</v>
      </c>
      <c r="E61" s="10" t="s">
        <v>80</v>
      </c>
      <c r="F61" s="10">
        <v>172</v>
      </c>
    </row>
    <row r="62" spans="1:6" ht="14.4" customHeight="1" x14ac:dyDescent="0.3">
      <c r="A62" s="10">
        <v>61</v>
      </c>
      <c r="B62" s="10" t="s">
        <v>3</v>
      </c>
      <c r="C62" s="10" t="s">
        <v>100</v>
      </c>
      <c r="D62" s="10" t="s">
        <v>198</v>
      </c>
      <c r="E62" s="10" t="s">
        <v>14</v>
      </c>
      <c r="F62" s="10">
        <v>172</v>
      </c>
    </row>
    <row r="63" spans="1:6" ht="14.4" customHeight="1" x14ac:dyDescent="0.3">
      <c r="A63" s="10">
        <v>62</v>
      </c>
      <c r="B63" s="10" t="s">
        <v>3</v>
      </c>
      <c r="C63" s="10" t="s">
        <v>101</v>
      </c>
      <c r="D63" s="10" t="s">
        <v>199</v>
      </c>
      <c r="E63" s="10" t="s">
        <v>4</v>
      </c>
      <c r="F63" s="10">
        <v>172</v>
      </c>
    </row>
    <row r="64" spans="1:6" ht="14.4" customHeight="1" x14ac:dyDescent="0.3">
      <c r="A64" s="10">
        <v>63</v>
      </c>
      <c r="B64" s="10" t="s">
        <v>3</v>
      </c>
      <c r="C64" s="10" t="s">
        <v>102</v>
      </c>
      <c r="D64" s="10" t="s">
        <v>200</v>
      </c>
      <c r="E64" s="10" t="s">
        <v>20</v>
      </c>
      <c r="F64" s="10">
        <v>172</v>
      </c>
    </row>
    <row r="65" spans="1:6" ht="14.4" customHeight="1" x14ac:dyDescent="0.3">
      <c r="A65" s="10">
        <v>64</v>
      </c>
      <c r="B65" s="10" t="s">
        <v>3</v>
      </c>
      <c r="C65" s="10" t="s">
        <v>103</v>
      </c>
      <c r="D65" s="10" t="s">
        <v>104</v>
      </c>
      <c r="E65" s="10" t="s">
        <v>4</v>
      </c>
      <c r="F65" s="10">
        <v>168</v>
      </c>
    </row>
    <row r="66" spans="1:6" ht="14.4" customHeight="1" x14ac:dyDescent="0.3">
      <c r="A66" s="10">
        <v>65</v>
      </c>
      <c r="B66" s="10" t="s">
        <v>3</v>
      </c>
      <c r="C66" s="10" t="s">
        <v>106</v>
      </c>
      <c r="D66" s="10" t="s">
        <v>201</v>
      </c>
      <c r="E66" s="10" t="s">
        <v>105</v>
      </c>
      <c r="F66" s="10">
        <v>167</v>
      </c>
    </row>
    <row r="67" spans="1:6" ht="14.4" customHeight="1" x14ac:dyDescent="0.3">
      <c r="A67" s="10">
        <v>66</v>
      </c>
      <c r="B67" s="10" t="s">
        <v>3</v>
      </c>
      <c r="C67" s="10" t="s">
        <v>107</v>
      </c>
      <c r="D67" s="10" t="s">
        <v>202</v>
      </c>
      <c r="E67" s="10" t="s">
        <v>50</v>
      </c>
      <c r="F67" s="10">
        <v>167</v>
      </c>
    </row>
    <row r="68" spans="1:6" ht="14.4" customHeight="1" x14ac:dyDescent="0.3">
      <c r="A68" s="10">
        <v>67</v>
      </c>
      <c r="B68" s="10" t="s">
        <v>3</v>
      </c>
      <c r="C68" s="10" t="s">
        <v>108</v>
      </c>
      <c r="D68" s="10" t="s">
        <v>203</v>
      </c>
      <c r="E68" s="10" t="s">
        <v>4</v>
      </c>
      <c r="F68" s="10">
        <v>164</v>
      </c>
    </row>
    <row r="69" spans="1:6" ht="14.4" customHeight="1" x14ac:dyDescent="0.3">
      <c r="A69" s="10">
        <v>68</v>
      </c>
      <c r="B69" s="10" t="s">
        <v>3</v>
      </c>
      <c r="C69" s="10" t="s">
        <v>109</v>
      </c>
      <c r="D69" s="10" t="s">
        <v>204</v>
      </c>
      <c r="E69" s="10" t="s">
        <v>4</v>
      </c>
      <c r="F69" s="10">
        <v>162</v>
      </c>
    </row>
    <row r="70" spans="1:6" ht="14.4" customHeight="1" x14ac:dyDescent="0.3">
      <c r="A70" s="10">
        <v>69</v>
      </c>
      <c r="B70" s="10" t="s">
        <v>3</v>
      </c>
      <c r="C70" s="10" t="s">
        <v>110</v>
      </c>
      <c r="D70" s="10" t="s">
        <v>205</v>
      </c>
      <c r="E70" s="10" t="s">
        <v>4</v>
      </c>
      <c r="F70" s="10">
        <v>159</v>
      </c>
    </row>
    <row r="71" spans="1:6" ht="14.4" customHeight="1" x14ac:dyDescent="0.3">
      <c r="A71" s="10">
        <v>70</v>
      </c>
      <c r="B71" s="10" t="s">
        <v>3</v>
      </c>
      <c r="C71" s="10" t="s">
        <v>111</v>
      </c>
      <c r="D71" s="10" t="s">
        <v>206</v>
      </c>
      <c r="E71" s="10" t="s">
        <v>23</v>
      </c>
      <c r="F71" s="10">
        <v>157</v>
      </c>
    </row>
    <row r="72" spans="1:6" ht="14.4" customHeight="1" x14ac:dyDescent="0.3">
      <c r="A72" s="10">
        <v>71</v>
      </c>
      <c r="B72" s="10" t="s">
        <v>3</v>
      </c>
      <c r="C72" s="10" t="s">
        <v>112</v>
      </c>
      <c r="D72" s="10" t="s">
        <v>207</v>
      </c>
      <c r="E72" s="10" t="s">
        <v>50</v>
      </c>
      <c r="F72" s="10">
        <v>157</v>
      </c>
    </row>
    <row r="73" spans="1:6" ht="14.4" customHeight="1" x14ac:dyDescent="0.3">
      <c r="A73" s="10">
        <v>72</v>
      </c>
      <c r="B73" s="10" t="s">
        <v>3</v>
      </c>
      <c r="C73" s="10" t="s">
        <v>113</v>
      </c>
      <c r="D73" s="10" t="s">
        <v>208</v>
      </c>
      <c r="E73" s="10" t="s">
        <v>4</v>
      </c>
      <c r="F73" s="10">
        <v>155</v>
      </c>
    </row>
    <row r="74" spans="1:6" ht="14.4" customHeight="1" x14ac:dyDescent="0.3">
      <c r="A74" s="10">
        <v>73</v>
      </c>
      <c r="B74" s="10" t="s">
        <v>3</v>
      </c>
      <c r="C74" s="10" t="s">
        <v>114</v>
      </c>
      <c r="D74" s="10" t="s">
        <v>209</v>
      </c>
      <c r="E74" s="10" t="s">
        <v>20</v>
      </c>
      <c r="F74" s="10">
        <v>155</v>
      </c>
    </row>
    <row r="75" spans="1:6" ht="14.4" customHeight="1" x14ac:dyDescent="0.3">
      <c r="A75" s="10">
        <v>74</v>
      </c>
      <c r="B75" s="10" t="s">
        <v>3</v>
      </c>
      <c r="C75" s="10" t="s">
        <v>115</v>
      </c>
      <c r="D75" s="10" t="s">
        <v>210</v>
      </c>
      <c r="E75" s="10" t="s">
        <v>4</v>
      </c>
      <c r="F75" s="10">
        <v>154</v>
      </c>
    </row>
    <row r="76" spans="1:6" ht="14.4" customHeight="1" x14ac:dyDescent="0.3">
      <c r="A76" s="10">
        <v>75</v>
      </c>
      <c r="B76" s="10" t="s">
        <v>3</v>
      </c>
      <c r="C76" s="10" t="s">
        <v>116</v>
      </c>
      <c r="D76" s="10" t="s">
        <v>211</v>
      </c>
      <c r="E76" s="10" t="s">
        <v>4</v>
      </c>
      <c r="F76" s="10">
        <v>154</v>
      </c>
    </row>
    <row r="77" spans="1:6" ht="14.4" customHeight="1" x14ac:dyDescent="0.3">
      <c r="A77" s="10">
        <v>76</v>
      </c>
      <c r="B77" s="10" t="s">
        <v>3</v>
      </c>
      <c r="C77" s="10" t="s">
        <v>117</v>
      </c>
      <c r="D77" s="10" t="s">
        <v>212</v>
      </c>
      <c r="E77" s="10" t="s">
        <v>20</v>
      </c>
      <c r="F77" s="10">
        <v>152</v>
      </c>
    </row>
    <row r="78" spans="1:6" ht="14.4" customHeight="1" x14ac:dyDescent="0.3">
      <c r="A78" s="10">
        <v>77</v>
      </c>
      <c r="B78" s="10" t="s">
        <v>3</v>
      </c>
      <c r="C78" s="10" t="s">
        <v>118</v>
      </c>
      <c r="D78" s="10" t="s">
        <v>213</v>
      </c>
      <c r="E78" s="10" t="s">
        <v>23</v>
      </c>
      <c r="F78" s="10">
        <v>151</v>
      </c>
    </row>
    <row r="79" spans="1:6" ht="14.4" customHeight="1" x14ac:dyDescent="0.3">
      <c r="A79" s="10">
        <v>78</v>
      </c>
      <c r="B79" s="10" t="s">
        <v>3</v>
      </c>
      <c r="C79" s="10" t="s">
        <v>119</v>
      </c>
      <c r="D79" s="10" t="s">
        <v>120</v>
      </c>
      <c r="E79" s="10" t="s">
        <v>4</v>
      </c>
      <c r="F79" s="10">
        <v>148</v>
      </c>
    </row>
    <row r="80" spans="1:6" ht="14.4" customHeight="1" x14ac:dyDescent="0.3">
      <c r="A80" s="10">
        <v>79</v>
      </c>
      <c r="B80" s="10" t="s">
        <v>3</v>
      </c>
      <c r="C80" s="10" t="s">
        <v>121</v>
      </c>
      <c r="D80" s="10" t="s">
        <v>122</v>
      </c>
      <c r="E80" s="10" t="s">
        <v>23</v>
      </c>
      <c r="F80" s="10">
        <v>142</v>
      </c>
    </row>
    <row r="81" spans="1:6" ht="14.4" customHeight="1" x14ac:dyDescent="0.3">
      <c r="A81" s="10">
        <v>80</v>
      </c>
      <c r="B81" s="10" t="s">
        <v>3</v>
      </c>
      <c r="C81" s="10" t="s">
        <v>123</v>
      </c>
      <c r="D81" s="10" t="s">
        <v>214</v>
      </c>
      <c r="E81" s="10" t="s">
        <v>50</v>
      </c>
      <c r="F81" s="10">
        <v>140</v>
      </c>
    </row>
    <row r="82" spans="1:6" ht="14.4" customHeight="1" x14ac:dyDescent="0.3">
      <c r="A82" s="10">
        <v>81</v>
      </c>
      <c r="B82" s="10" t="s">
        <v>3</v>
      </c>
      <c r="C82" s="10" t="s">
        <v>124</v>
      </c>
      <c r="D82" s="10" t="s">
        <v>215</v>
      </c>
      <c r="E82" s="10" t="s">
        <v>23</v>
      </c>
      <c r="F82" s="10">
        <v>140</v>
      </c>
    </row>
    <row r="83" spans="1:6" ht="14.4" customHeight="1" x14ac:dyDescent="0.3">
      <c r="A83" s="10">
        <v>82</v>
      </c>
      <c r="B83" s="10" t="s">
        <v>3</v>
      </c>
      <c r="C83" s="10" t="s">
        <v>125</v>
      </c>
      <c r="D83" s="10" t="s">
        <v>216</v>
      </c>
      <c r="E83" s="10" t="s">
        <v>14</v>
      </c>
      <c r="F83" s="10">
        <v>139</v>
      </c>
    </row>
    <row r="84" spans="1:6" ht="14.4" customHeight="1" x14ac:dyDescent="0.3">
      <c r="A84" s="10">
        <v>83</v>
      </c>
      <c r="B84" s="10" t="s">
        <v>3</v>
      </c>
      <c r="C84" s="10" t="s">
        <v>126</v>
      </c>
      <c r="D84" s="10" t="s">
        <v>217</v>
      </c>
      <c r="E84" s="10" t="s">
        <v>23</v>
      </c>
      <c r="F84" s="10">
        <v>135</v>
      </c>
    </row>
    <row r="85" spans="1:6" ht="14.4" customHeight="1" x14ac:dyDescent="0.3">
      <c r="A85" s="10">
        <v>84</v>
      </c>
      <c r="B85" s="10" t="s">
        <v>3</v>
      </c>
      <c r="C85" s="10" t="s">
        <v>127</v>
      </c>
      <c r="D85" s="10" t="s">
        <v>218</v>
      </c>
      <c r="E85" s="10" t="s">
        <v>20</v>
      </c>
      <c r="F85" s="10">
        <v>133</v>
      </c>
    </row>
    <row r="86" spans="1:6" ht="14.4" customHeight="1" x14ac:dyDescent="0.3">
      <c r="A86" s="10">
        <v>85</v>
      </c>
      <c r="B86" s="10" t="s">
        <v>3</v>
      </c>
      <c r="C86" s="10" t="s">
        <v>128</v>
      </c>
      <c r="D86" s="10" t="s">
        <v>219</v>
      </c>
      <c r="E86" s="10" t="s">
        <v>4</v>
      </c>
      <c r="F86" s="10">
        <v>133</v>
      </c>
    </row>
    <row r="87" spans="1:6" ht="14.4" customHeight="1" x14ac:dyDescent="0.3">
      <c r="A87" s="10">
        <v>86</v>
      </c>
      <c r="B87" s="10" t="s">
        <v>3</v>
      </c>
      <c r="C87" s="10" t="s">
        <v>129</v>
      </c>
      <c r="D87" s="10" t="s">
        <v>130</v>
      </c>
      <c r="E87" s="10" t="s">
        <v>50</v>
      </c>
      <c r="F87" s="10">
        <v>130</v>
      </c>
    </row>
    <row r="88" spans="1:6" ht="14.4" customHeight="1" x14ac:dyDescent="0.3">
      <c r="A88" s="10">
        <v>87</v>
      </c>
      <c r="B88" s="10" t="s">
        <v>3</v>
      </c>
      <c r="C88" s="10" t="s">
        <v>132</v>
      </c>
      <c r="D88" s="10" t="s">
        <v>133</v>
      </c>
      <c r="E88" s="10" t="s">
        <v>131</v>
      </c>
      <c r="F88" s="10">
        <v>130</v>
      </c>
    </row>
    <row r="89" spans="1:6" ht="14.4" customHeight="1" x14ac:dyDescent="0.3">
      <c r="A89" s="10">
        <v>88</v>
      </c>
      <c r="B89" s="10" t="s">
        <v>3</v>
      </c>
      <c r="C89" s="10" t="s">
        <v>134</v>
      </c>
      <c r="D89" s="10" t="s">
        <v>220</v>
      </c>
      <c r="E89" s="10" t="s">
        <v>4</v>
      </c>
      <c r="F89" s="10">
        <v>128</v>
      </c>
    </row>
    <row r="90" spans="1:6" ht="14.4" customHeight="1" x14ac:dyDescent="0.3">
      <c r="A90" s="10">
        <v>89</v>
      </c>
      <c r="B90" s="10" t="s">
        <v>3</v>
      </c>
      <c r="C90" s="10" t="s">
        <v>135</v>
      </c>
      <c r="D90" s="10" t="s">
        <v>221</v>
      </c>
      <c r="E90" s="10" t="s">
        <v>50</v>
      </c>
      <c r="F90" s="10">
        <v>127</v>
      </c>
    </row>
    <row r="91" spans="1:6" ht="14.4" customHeight="1" x14ac:dyDescent="0.3">
      <c r="A91" s="10">
        <v>90</v>
      </c>
      <c r="B91" s="10" t="s">
        <v>3</v>
      </c>
      <c r="C91" s="10" t="s">
        <v>136</v>
      </c>
      <c r="D91" s="10" t="s">
        <v>137</v>
      </c>
      <c r="E91" s="10" t="s">
        <v>23</v>
      </c>
      <c r="F91" s="10">
        <v>126</v>
      </c>
    </row>
    <row r="92" spans="1:6" ht="14.4" customHeight="1" x14ac:dyDescent="0.3">
      <c r="A92" s="10">
        <v>91</v>
      </c>
      <c r="B92" s="10" t="s">
        <v>3</v>
      </c>
      <c r="C92" s="10" t="s">
        <v>138</v>
      </c>
      <c r="D92" s="10" t="s">
        <v>222</v>
      </c>
      <c r="E92" s="10" t="s">
        <v>20</v>
      </c>
      <c r="F92" s="10">
        <v>123</v>
      </c>
    </row>
    <row r="93" spans="1:6" ht="14.4" customHeight="1" x14ac:dyDescent="0.3">
      <c r="A93" s="10">
        <v>92</v>
      </c>
      <c r="B93" s="10" t="s">
        <v>3</v>
      </c>
      <c r="C93" s="10" t="s">
        <v>139</v>
      </c>
      <c r="D93" s="10" t="s">
        <v>223</v>
      </c>
      <c r="E93" s="10" t="s">
        <v>50</v>
      </c>
      <c r="F93" s="10">
        <v>123</v>
      </c>
    </row>
    <row r="94" spans="1:6" ht="14.4" customHeight="1" x14ac:dyDescent="0.3">
      <c r="A94" s="10">
        <v>93</v>
      </c>
      <c r="B94" s="10" t="s">
        <v>3</v>
      </c>
      <c r="C94" s="10" t="s">
        <v>140</v>
      </c>
      <c r="D94" s="10" t="s">
        <v>224</v>
      </c>
      <c r="E94" s="10" t="s">
        <v>131</v>
      </c>
      <c r="F94" s="10">
        <v>122</v>
      </c>
    </row>
    <row r="95" spans="1:6" ht="14.4" customHeight="1" x14ac:dyDescent="0.3">
      <c r="A95" s="10">
        <v>94</v>
      </c>
      <c r="B95" s="10" t="s">
        <v>3</v>
      </c>
      <c r="C95" s="10" t="s">
        <v>141</v>
      </c>
      <c r="D95" s="10" t="s">
        <v>225</v>
      </c>
      <c r="E95" s="10" t="s">
        <v>4</v>
      </c>
      <c r="F95" s="10">
        <v>118</v>
      </c>
    </row>
    <row r="96" spans="1:6" ht="14.4" customHeight="1" x14ac:dyDescent="0.3">
      <c r="A96" s="10">
        <v>95</v>
      </c>
      <c r="B96" s="10" t="s">
        <v>3</v>
      </c>
      <c r="C96" s="10" t="s">
        <v>142</v>
      </c>
      <c r="D96" s="10" t="s">
        <v>226</v>
      </c>
      <c r="E96" s="10" t="s">
        <v>20</v>
      </c>
      <c r="F96" s="10">
        <v>118</v>
      </c>
    </row>
    <row r="97" spans="1:6" ht="14.4" customHeight="1" x14ac:dyDescent="0.3">
      <c r="A97" s="10">
        <v>96</v>
      </c>
      <c r="B97" s="10" t="s">
        <v>3</v>
      </c>
      <c r="C97" s="10" t="s">
        <v>143</v>
      </c>
      <c r="D97" s="10" t="s">
        <v>144</v>
      </c>
      <c r="E97" s="10" t="s">
        <v>38</v>
      </c>
      <c r="F97" s="10">
        <v>117</v>
      </c>
    </row>
    <row r="98" spans="1:6" ht="14.4" customHeight="1" x14ac:dyDescent="0.3">
      <c r="A98" s="10">
        <v>97</v>
      </c>
      <c r="B98" s="10" t="s">
        <v>3</v>
      </c>
      <c r="C98" s="10" t="s">
        <v>145</v>
      </c>
      <c r="D98" s="10" t="s">
        <v>227</v>
      </c>
      <c r="E98" s="10" t="s">
        <v>23</v>
      </c>
      <c r="F98" s="10">
        <v>114</v>
      </c>
    </row>
    <row r="99" spans="1:6" ht="14.4" customHeight="1" x14ac:dyDescent="0.3">
      <c r="A99" s="10">
        <v>98</v>
      </c>
      <c r="B99" s="10" t="s">
        <v>3</v>
      </c>
      <c r="C99" s="10" t="s">
        <v>146</v>
      </c>
      <c r="D99" s="10" t="s">
        <v>228</v>
      </c>
      <c r="E99" s="10" t="s">
        <v>14</v>
      </c>
      <c r="F99" s="10">
        <v>110</v>
      </c>
    </row>
    <row r="100" spans="1:6" ht="14.4" customHeight="1" x14ac:dyDescent="0.3">
      <c r="A100" s="10">
        <v>99</v>
      </c>
      <c r="B100" s="10" t="s">
        <v>3</v>
      </c>
      <c r="C100" s="10" t="s">
        <v>229</v>
      </c>
      <c r="D100" s="10" t="s">
        <v>230</v>
      </c>
      <c r="E100" s="10" t="s">
        <v>50</v>
      </c>
      <c r="F100" s="10">
        <v>109</v>
      </c>
    </row>
    <row r="101" spans="1:6" ht="14.4" customHeight="1" x14ac:dyDescent="0.3">
      <c r="A101" s="10">
        <v>100</v>
      </c>
      <c r="B101" s="10" t="s">
        <v>3</v>
      </c>
      <c r="C101" s="10" t="s">
        <v>231</v>
      </c>
      <c r="D101" s="10" t="s">
        <v>232</v>
      </c>
      <c r="E101" s="10" t="s">
        <v>26</v>
      </c>
      <c r="F101" s="10">
        <v>108</v>
      </c>
    </row>
    <row r="102" spans="1:6" ht="14.4" customHeight="1" x14ac:dyDescent="0.3">
      <c r="A102" s="10">
        <v>101</v>
      </c>
      <c r="B102" s="10" t="s">
        <v>3</v>
      </c>
      <c r="C102" s="10" t="s">
        <v>128</v>
      </c>
      <c r="D102" s="10" t="s">
        <v>233</v>
      </c>
      <c r="E102" s="10" t="s">
        <v>4</v>
      </c>
      <c r="F102" s="10">
        <v>133</v>
      </c>
    </row>
    <row r="103" spans="1:6" ht="14.4" customHeight="1" x14ac:dyDescent="0.3">
      <c r="A103" s="10">
        <v>102</v>
      </c>
      <c r="B103" s="10" t="s">
        <v>3</v>
      </c>
      <c r="C103" s="10" t="s">
        <v>129</v>
      </c>
      <c r="D103" s="10" t="s">
        <v>130</v>
      </c>
      <c r="E103" s="10" t="s">
        <v>50</v>
      </c>
      <c r="F103" s="10">
        <v>130</v>
      </c>
    </row>
    <row r="104" spans="1:6" ht="14.4" customHeight="1" x14ac:dyDescent="0.3">
      <c r="A104" s="10">
        <v>103</v>
      </c>
      <c r="B104" s="10" t="s">
        <v>3</v>
      </c>
      <c r="C104" s="10" t="s">
        <v>132</v>
      </c>
      <c r="D104" s="10" t="s">
        <v>133</v>
      </c>
      <c r="E104" s="10" t="s">
        <v>131</v>
      </c>
      <c r="F104" s="10">
        <v>130</v>
      </c>
    </row>
    <row r="105" spans="1:6" ht="14.4" customHeight="1" x14ac:dyDescent="0.3">
      <c r="A105" s="10">
        <v>104</v>
      </c>
      <c r="B105" s="10" t="s">
        <v>3</v>
      </c>
      <c r="C105" s="10" t="s">
        <v>134</v>
      </c>
      <c r="D105" s="10" t="s">
        <v>220</v>
      </c>
      <c r="E105" s="10" t="s">
        <v>4</v>
      </c>
      <c r="F105" s="10">
        <v>128</v>
      </c>
    </row>
    <row r="106" spans="1:6" ht="14.4" customHeight="1" x14ac:dyDescent="0.3">
      <c r="A106" s="10">
        <v>105</v>
      </c>
      <c r="B106" s="10" t="s">
        <v>3</v>
      </c>
      <c r="C106" s="10" t="s">
        <v>135</v>
      </c>
      <c r="D106" s="10" t="s">
        <v>234</v>
      </c>
      <c r="E106" s="10" t="s">
        <v>50</v>
      </c>
      <c r="F106" s="10">
        <v>127</v>
      </c>
    </row>
    <row r="107" spans="1:6" ht="14.4" customHeight="1" x14ac:dyDescent="0.3">
      <c r="A107" s="10">
        <v>106</v>
      </c>
      <c r="B107" s="10" t="s">
        <v>3</v>
      </c>
      <c r="C107" s="10" t="s">
        <v>136</v>
      </c>
      <c r="D107" s="10" t="s">
        <v>137</v>
      </c>
      <c r="E107" s="10" t="s">
        <v>23</v>
      </c>
      <c r="F107" s="10">
        <v>126</v>
      </c>
    </row>
    <row r="108" spans="1:6" ht="14.4" customHeight="1" x14ac:dyDescent="0.3">
      <c r="A108" s="10">
        <v>107</v>
      </c>
      <c r="B108" s="10" t="s">
        <v>3</v>
      </c>
      <c r="C108" s="10" t="s">
        <v>138</v>
      </c>
      <c r="D108" s="10" t="s">
        <v>235</v>
      </c>
      <c r="E108" s="10" t="s">
        <v>20</v>
      </c>
      <c r="F108" s="10">
        <v>123</v>
      </c>
    </row>
    <row r="109" spans="1:6" ht="14.4" customHeight="1" x14ac:dyDescent="0.3">
      <c r="A109" s="10">
        <v>108</v>
      </c>
      <c r="B109" s="10" t="s">
        <v>3</v>
      </c>
      <c r="C109" s="10" t="s">
        <v>139</v>
      </c>
      <c r="D109" s="10" t="s">
        <v>236</v>
      </c>
      <c r="E109" s="10" t="s">
        <v>50</v>
      </c>
      <c r="F109" s="10">
        <v>123</v>
      </c>
    </row>
    <row r="110" spans="1:6" ht="14.4" customHeight="1" x14ac:dyDescent="0.3">
      <c r="A110" s="10">
        <v>109</v>
      </c>
      <c r="B110" s="10" t="s">
        <v>3</v>
      </c>
      <c r="C110" s="10" t="s">
        <v>140</v>
      </c>
      <c r="D110" s="10" t="s">
        <v>224</v>
      </c>
      <c r="E110" s="10" t="s">
        <v>131</v>
      </c>
      <c r="F110" s="10">
        <v>122</v>
      </c>
    </row>
    <row r="111" spans="1:6" ht="14.4" customHeight="1" x14ac:dyDescent="0.3">
      <c r="A111" s="10">
        <v>110</v>
      </c>
      <c r="B111" s="10" t="s">
        <v>3</v>
      </c>
      <c r="C111" s="10" t="s">
        <v>141</v>
      </c>
      <c r="D111" s="10" t="s">
        <v>237</v>
      </c>
      <c r="E111" s="10" t="s">
        <v>4</v>
      </c>
      <c r="F111" s="10">
        <v>118</v>
      </c>
    </row>
    <row r="112" spans="1:6" ht="14.4" customHeight="1" x14ac:dyDescent="0.3">
      <c r="A112" s="10">
        <v>111</v>
      </c>
      <c r="B112" s="10" t="s">
        <v>3</v>
      </c>
      <c r="C112" s="10" t="s">
        <v>142</v>
      </c>
      <c r="D112" s="10" t="s">
        <v>238</v>
      </c>
      <c r="E112" s="10" t="s">
        <v>20</v>
      </c>
      <c r="F112" s="10">
        <v>118</v>
      </c>
    </row>
    <row r="113" spans="1:6" ht="14.4" customHeight="1" x14ac:dyDescent="0.3">
      <c r="A113" s="10">
        <v>112</v>
      </c>
      <c r="B113" s="10" t="s">
        <v>3</v>
      </c>
      <c r="C113" s="10" t="s">
        <v>143</v>
      </c>
      <c r="D113" s="10" t="s">
        <v>144</v>
      </c>
      <c r="E113" s="10" t="s">
        <v>38</v>
      </c>
      <c r="F113" s="10">
        <v>117</v>
      </c>
    </row>
    <row r="114" spans="1:6" ht="14.4" customHeight="1" x14ac:dyDescent="0.3">
      <c r="A114" s="10">
        <v>113</v>
      </c>
      <c r="B114" s="10" t="s">
        <v>3</v>
      </c>
      <c r="C114" s="10" t="s">
        <v>145</v>
      </c>
      <c r="D114" s="10" t="s">
        <v>239</v>
      </c>
      <c r="E114" s="10" t="s">
        <v>23</v>
      </c>
      <c r="F114" s="10">
        <v>114</v>
      </c>
    </row>
    <row r="115" spans="1:6" ht="14.4" customHeight="1" x14ac:dyDescent="0.3">
      <c r="A115" s="10">
        <v>114</v>
      </c>
      <c r="B115" s="10" t="s">
        <v>3</v>
      </c>
      <c r="C115" s="10" t="s">
        <v>146</v>
      </c>
      <c r="D115" s="10" t="s">
        <v>240</v>
      </c>
      <c r="E115" s="10" t="s">
        <v>80</v>
      </c>
      <c r="F115" s="10">
        <v>110</v>
      </c>
    </row>
    <row r="116" spans="1:6" ht="14.4" customHeight="1" x14ac:dyDescent="0.3">
      <c r="A116" s="10">
        <v>115</v>
      </c>
      <c r="B116" s="10" t="s">
        <v>3</v>
      </c>
      <c r="C116" s="10" t="s">
        <v>229</v>
      </c>
      <c r="D116" s="10" t="s">
        <v>230</v>
      </c>
      <c r="E116" s="10" t="s">
        <v>50</v>
      </c>
      <c r="F116" s="10">
        <v>109</v>
      </c>
    </row>
    <row r="117" spans="1:6" ht="14.4" customHeight="1" x14ac:dyDescent="0.3">
      <c r="A117" s="10">
        <v>116</v>
      </c>
      <c r="B117" s="10" t="s">
        <v>3</v>
      </c>
      <c r="C117" s="10" t="s">
        <v>231</v>
      </c>
      <c r="D117" s="10" t="s">
        <v>241</v>
      </c>
      <c r="E117" s="10" t="s">
        <v>26</v>
      </c>
      <c r="F117" s="10">
        <v>108</v>
      </c>
    </row>
    <row r="118" spans="1:6" ht="14.4" customHeight="1" x14ac:dyDescent="0.3">
      <c r="A118" s="10">
        <v>117</v>
      </c>
      <c r="B118" s="10" t="s">
        <v>3</v>
      </c>
      <c r="C118" s="10" t="s">
        <v>242</v>
      </c>
      <c r="D118" s="10" t="s">
        <v>243</v>
      </c>
      <c r="E118" s="10" t="s">
        <v>50</v>
      </c>
      <c r="F118" s="10">
        <v>107</v>
      </c>
    </row>
    <row r="119" spans="1:6" ht="14.4" customHeight="1" x14ac:dyDescent="0.3">
      <c r="A119" s="10">
        <v>118</v>
      </c>
      <c r="B119" s="10" t="s">
        <v>3</v>
      </c>
      <c r="C119" s="10" t="s">
        <v>244</v>
      </c>
      <c r="D119" s="10" t="s">
        <v>245</v>
      </c>
      <c r="E119" s="10" t="s">
        <v>50</v>
      </c>
      <c r="F119" s="10">
        <v>106</v>
      </c>
    </row>
    <row r="120" spans="1:6" ht="14.4" customHeight="1" x14ac:dyDescent="0.3">
      <c r="A120" s="10">
        <v>119</v>
      </c>
      <c r="B120" s="10" t="s">
        <v>3</v>
      </c>
      <c r="C120" s="10" t="s">
        <v>246</v>
      </c>
      <c r="D120" s="10" t="s">
        <v>247</v>
      </c>
      <c r="E120" s="10" t="s">
        <v>23</v>
      </c>
      <c r="F120" s="10">
        <v>105</v>
      </c>
    </row>
    <row r="121" spans="1:6" ht="14.4" customHeight="1" x14ac:dyDescent="0.3">
      <c r="A121" s="10">
        <v>120</v>
      </c>
      <c r="B121" s="10" t="s">
        <v>3</v>
      </c>
      <c r="C121" s="10" t="s">
        <v>248</v>
      </c>
      <c r="D121" s="10" t="s">
        <v>249</v>
      </c>
      <c r="E121" s="10" t="s">
        <v>14</v>
      </c>
      <c r="F121" s="10">
        <v>104</v>
      </c>
    </row>
    <row r="122" spans="1:6" ht="14.4" customHeight="1" x14ac:dyDescent="0.3">
      <c r="A122" s="10">
        <v>121</v>
      </c>
      <c r="B122" s="10" t="s">
        <v>3</v>
      </c>
      <c r="C122" s="10" t="s">
        <v>250</v>
      </c>
      <c r="D122" s="10" t="s">
        <v>251</v>
      </c>
      <c r="E122" s="10" t="s">
        <v>4</v>
      </c>
      <c r="F122" s="10">
        <v>103</v>
      </c>
    </row>
    <row r="123" spans="1:6" ht="14.4" customHeight="1" x14ac:dyDescent="0.3">
      <c r="A123" s="10">
        <v>122</v>
      </c>
      <c r="B123" s="10" t="s">
        <v>3</v>
      </c>
      <c r="C123" s="10" t="s">
        <v>252</v>
      </c>
      <c r="D123" s="10" t="s">
        <v>253</v>
      </c>
      <c r="E123" s="10" t="s">
        <v>4</v>
      </c>
      <c r="F123" s="10">
        <v>102</v>
      </c>
    </row>
    <row r="124" spans="1:6" ht="14.4" customHeight="1" x14ac:dyDescent="0.3">
      <c r="A124" s="10">
        <v>123</v>
      </c>
      <c r="B124" s="10" t="s">
        <v>3</v>
      </c>
      <c r="C124" s="10" t="s">
        <v>254</v>
      </c>
      <c r="D124" s="10" t="s">
        <v>255</v>
      </c>
      <c r="E124" s="10" t="s">
        <v>50</v>
      </c>
      <c r="F124" s="10">
        <v>101</v>
      </c>
    </row>
    <row r="125" spans="1:6" ht="14.4" customHeight="1" x14ac:dyDescent="0.3">
      <c r="A125" s="10">
        <v>124</v>
      </c>
      <c r="B125" s="10" t="s">
        <v>3</v>
      </c>
      <c r="C125" s="10" t="s">
        <v>256</v>
      </c>
      <c r="D125" s="10" t="s">
        <v>257</v>
      </c>
      <c r="E125" s="10" t="s">
        <v>50</v>
      </c>
      <c r="F125" s="10">
        <v>100</v>
      </c>
    </row>
    <row r="126" spans="1:6" ht="14.4" customHeight="1" x14ac:dyDescent="0.3">
      <c r="A126" s="10">
        <v>125</v>
      </c>
      <c r="B126" s="10" t="s">
        <v>3</v>
      </c>
      <c r="C126" s="10" t="s">
        <v>258</v>
      </c>
      <c r="D126" s="10" t="s">
        <v>259</v>
      </c>
      <c r="E126" s="10" t="s">
        <v>20</v>
      </c>
      <c r="F126" s="10">
        <v>99</v>
      </c>
    </row>
    <row r="127" spans="1:6" ht="14.4" customHeight="1" x14ac:dyDescent="0.3">
      <c r="A127" s="10">
        <v>126</v>
      </c>
      <c r="B127" s="10" t="s">
        <v>3</v>
      </c>
      <c r="C127" s="10" t="s">
        <v>260</v>
      </c>
      <c r="D127" s="10" t="s">
        <v>261</v>
      </c>
      <c r="E127" s="10" t="s">
        <v>26</v>
      </c>
      <c r="F127" s="10">
        <v>98</v>
      </c>
    </row>
    <row r="128" spans="1:6" ht="14.4" customHeight="1" x14ac:dyDescent="0.3">
      <c r="A128" s="10">
        <v>127</v>
      </c>
      <c r="B128" s="10" t="s">
        <v>3</v>
      </c>
      <c r="C128" s="10" t="s">
        <v>262</v>
      </c>
      <c r="D128" s="10" t="s">
        <v>263</v>
      </c>
      <c r="E128" s="10" t="s">
        <v>50</v>
      </c>
      <c r="F128" s="10">
        <v>97</v>
      </c>
    </row>
    <row r="129" spans="1:6" ht="14.4" customHeight="1" x14ac:dyDescent="0.3">
      <c r="A129" s="10">
        <v>128</v>
      </c>
      <c r="B129" s="10" t="s">
        <v>3</v>
      </c>
      <c r="C129" s="10" t="s">
        <v>264</v>
      </c>
      <c r="D129" s="10" t="s">
        <v>265</v>
      </c>
      <c r="E129" s="10" t="s">
        <v>20</v>
      </c>
      <c r="F129" s="10">
        <v>96</v>
      </c>
    </row>
    <row r="130" spans="1:6" ht="14.4" customHeight="1" x14ac:dyDescent="0.3">
      <c r="A130" s="10">
        <v>129</v>
      </c>
      <c r="B130" s="10" t="s">
        <v>3</v>
      </c>
      <c r="C130" s="10" t="s">
        <v>266</v>
      </c>
      <c r="D130" s="10" t="s">
        <v>267</v>
      </c>
      <c r="E130" s="10" t="s">
        <v>50</v>
      </c>
      <c r="F130" s="10">
        <v>95</v>
      </c>
    </row>
    <row r="131" spans="1:6" ht="14.4" customHeight="1" x14ac:dyDescent="0.3">
      <c r="A131" s="10">
        <v>130</v>
      </c>
      <c r="B131" s="10" t="s">
        <v>3</v>
      </c>
      <c r="C131" s="10" t="s">
        <v>268</v>
      </c>
      <c r="D131" s="10" t="s">
        <v>269</v>
      </c>
      <c r="E131" s="10" t="s">
        <v>105</v>
      </c>
      <c r="F131" s="10">
        <v>94</v>
      </c>
    </row>
    <row r="132" spans="1:6" ht="14.4" customHeight="1" x14ac:dyDescent="0.3">
      <c r="A132" s="10">
        <v>131</v>
      </c>
      <c r="B132" s="10" t="s">
        <v>3</v>
      </c>
      <c r="C132" s="10" t="s">
        <v>270</v>
      </c>
      <c r="D132" s="10" t="s">
        <v>271</v>
      </c>
      <c r="E132" s="10" t="s">
        <v>14</v>
      </c>
      <c r="F132" s="10">
        <v>93</v>
      </c>
    </row>
    <row r="133" spans="1:6" ht="14.4" customHeight="1" x14ac:dyDescent="0.3">
      <c r="A133" s="10">
        <v>132</v>
      </c>
      <c r="B133" s="10" t="s">
        <v>3</v>
      </c>
      <c r="C133" s="10" t="s">
        <v>272</v>
      </c>
      <c r="D133" s="10" t="s">
        <v>273</v>
      </c>
      <c r="E133" s="10" t="s">
        <v>20</v>
      </c>
      <c r="F133" s="10">
        <v>92</v>
      </c>
    </row>
    <row r="134" spans="1:6" ht="14.4" customHeight="1" x14ac:dyDescent="0.3">
      <c r="A134" s="10">
        <v>133</v>
      </c>
      <c r="B134" s="10" t="s">
        <v>3</v>
      </c>
      <c r="C134" s="10" t="s">
        <v>274</v>
      </c>
      <c r="D134" s="10" t="s">
        <v>275</v>
      </c>
      <c r="E134" s="10" t="s">
        <v>4</v>
      </c>
      <c r="F134" s="10">
        <v>91</v>
      </c>
    </row>
    <row r="135" spans="1:6" ht="14.4" customHeight="1" x14ac:dyDescent="0.3">
      <c r="A135" s="10">
        <v>134</v>
      </c>
      <c r="B135" s="10" t="s">
        <v>3</v>
      </c>
      <c r="C135" s="10" t="s">
        <v>276</v>
      </c>
      <c r="D135" s="10" t="s">
        <v>277</v>
      </c>
      <c r="E135" s="10" t="s">
        <v>26</v>
      </c>
      <c r="F135" s="10">
        <v>90</v>
      </c>
    </row>
    <row r="136" spans="1:6" ht="14.4" customHeight="1" x14ac:dyDescent="0.3">
      <c r="A136" s="10">
        <v>135</v>
      </c>
      <c r="B136" s="10" t="s">
        <v>3</v>
      </c>
      <c r="C136" s="10" t="s">
        <v>278</v>
      </c>
      <c r="D136" s="10" t="s">
        <v>279</v>
      </c>
      <c r="E136" s="10" t="s">
        <v>50</v>
      </c>
      <c r="F136" s="10">
        <v>89</v>
      </c>
    </row>
    <row r="137" spans="1:6" ht="14.4" customHeight="1" x14ac:dyDescent="0.3">
      <c r="A137" s="10">
        <v>136</v>
      </c>
      <c r="B137" s="10" t="s">
        <v>3</v>
      </c>
      <c r="C137" s="10" t="s">
        <v>280</v>
      </c>
      <c r="D137" s="10" t="s">
        <v>281</v>
      </c>
      <c r="E137" s="10" t="s">
        <v>14</v>
      </c>
      <c r="F137" s="10">
        <v>88</v>
      </c>
    </row>
    <row r="138" spans="1:6" ht="14.4" customHeight="1" x14ac:dyDescent="0.3">
      <c r="A138" s="10">
        <v>137</v>
      </c>
      <c r="B138" s="10" t="s">
        <v>3</v>
      </c>
      <c r="C138" s="10" t="s">
        <v>282</v>
      </c>
      <c r="D138" s="10" t="s">
        <v>283</v>
      </c>
      <c r="E138" s="10" t="s">
        <v>50</v>
      </c>
      <c r="F138" s="10">
        <v>87</v>
      </c>
    </row>
    <row r="139" spans="1:6" ht="14.4" customHeight="1" x14ac:dyDescent="0.3">
      <c r="A139" s="10">
        <v>138</v>
      </c>
      <c r="B139" s="10" t="s">
        <v>3</v>
      </c>
      <c r="C139" s="10" t="s">
        <v>284</v>
      </c>
      <c r="D139" s="10" t="s">
        <v>285</v>
      </c>
      <c r="E139" s="10" t="s">
        <v>23</v>
      </c>
      <c r="F139" s="10">
        <v>86</v>
      </c>
    </row>
    <row r="140" spans="1:6" ht="14.4" customHeight="1" x14ac:dyDescent="0.3">
      <c r="A140" s="10">
        <v>139</v>
      </c>
      <c r="B140" s="10" t="s">
        <v>3</v>
      </c>
      <c r="C140" s="10" t="s">
        <v>286</v>
      </c>
      <c r="D140" s="10" t="s">
        <v>287</v>
      </c>
      <c r="E140" s="10" t="s">
        <v>14</v>
      </c>
      <c r="F140" s="10">
        <v>85</v>
      </c>
    </row>
    <row r="141" spans="1:6" ht="14.4" customHeight="1" x14ac:dyDescent="0.3">
      <c r="A141" s="10">
        <v>140</v>
      </c>
      <c r="B141" s="10" t="s">
        <v>3</v>
      </c>
      <c r="C141" s="10" t="s">
        <v>288</v>
      </c>
      <c r="D141" s="10" t="s">
        <v>289</v>
      </c>
      <c r="E141" s="10" t="s">
        <v>105</v>
      </c>
      <c r="F141" s="10">
        <v>84</v>
      </c>
    </row>
    <row r="142" spans="1:6" ht="14.4" customHeight="1" x14ac:dyDescent="0.3">
      <c r="A142" s="10">
        <v>141</v>
      </c>
      <c r="B142" s="10" t="s">
        <v>3</v>
      </c>
      <c r="C142" s="10" t="s">
        <v>290</v>
      </c>
      <c r="D142" s="10" t="s">
        <v>291</v>
      </c>
      <c r="E142" s="10" t="s">
        <v>4</v>
      </c>
      <c r="F142" s="10">
        <v>83</v>
      </c>
    </row>
    <row r="143" spans="1:6" ht="14.4" customHeight="1" x14ac:dyDescent="0.3">
      <c r="A143" s="10">
        <v>142</v>
      </c>
      <c r="B143" s="10" t="s">
        <v>3</v>
      </c>
      <c r="C143" s="10" t="s">
        <v>292</v>
      </c>
      <c r="D143" s="10" t="s">
        <v>293</v>
      </c>
      <c r="E143" s="10" t="s">
        <v>50</v>
      </c>
      <c r="F143" s="10">
        <v>82</v>
      </c>
    </row>
    <row r="144" spans="1:6" ht="14.4" customHeight="1" x14ac:dyDescent="0.3">
      <c r="A144" s="10">
        <v>143</v>
      </c>
      <c r="B144" s="10" t="s">
        <v>3</v>
      </c>
      <c r="C144" s="10" t="s">
        <v>294</v>
      </c>
      <c r="D144" s="10" t="s">
        <v>295</v>
      </c>
      <c r="E144" s="10" t="s">
        <v>4</v>
      </c>
      <c r="F144" s="10">
        <v>81</v>
      </c>
    </row>
    <row r="145" spans="1:6" ht="14.4" customHeight="1" x14ac:dyDescent="0.3">
      <c r="A145" s="10">
        <v>144</v>
      </c>
      <c r="B145" s="10" t="s">
        <v>3</v>
      </c>
      <c r="C145" s="10" t="s">
        <v>296</v>
      </c>
      <c r="D145" s="10" t="s">
        <v>297</v>
      </c>
      <c r="E145" s="10" t="s">
        <v>38</v>
      </c>
      <c r="F145" s="10">
        <v>80</v>
      </c>
    </row>
    <row r="146" spans="1:6" ht="14.4" customHeight="1" x14ac:dyDescent="0.3">
      <c r="A146" s="10">
        <v>145</v>
      </c>
      <c r="B146" s="10" t="s">
        <v>3</v>
      </c>
      <c r="C146" s="10" t="s">
        <v>298</v>
      </c>
      <c r="D146" s="10" t="s">
        <v>299</v>
      </c>
      <c r="E146" s="10" t="s">
        <v>26</v>
      </c>
      <c r="F146" s="10">
        <v>79</v>
      </c>
    </row>
    <row r="147" spans="1:6" ht="14.4" customHeight="1" x14ac:dyDescent="0.3">
      <c r="A147" s="10">
        <v>146</v>
      </c>
      <c r="B147" s="10" t="s">
        <v>3</v>
      </c>
      <c r="C147" s="10" t="s">
        <v>300</v>
      </c>
      <c r="D147" s="10" t="s">
        <v>301</v>
      </c>
      <c r="E147" s="10" t="s">
        <v>50</v>
      </c>
      <c r="F147" s="10">
        <v>78</v>
      </c>
    </row>
    <row r="148" spans="1:6" ht="14.4" customHeight="1" x14ac:dyDescent="0.3">
      <c r="A148" s="10">
        <v>147</v>
      </c>
      <c r="B148" s="10" t="s">
        <v>3</v>
      </c>
      <c r="C148" s="10" t="s">
        <v>302</v>
      </c>
      <c r="D148" s="10" t="s">
        <v>303</v>
      </c>
      <c r="E148" s="10" t="s">
        <v>20</v>
      </c>
      <c r="F148" s="10">
        <v>77</v>
      </c>
    </row>
    <row r="149" spans="1:6" ht="14.4" customHeight="1" x14ac:dyDescent="0.3">
      <c r="A149" s="10">
        <v>148</v>
      </c>
      <c r="B149" s="10" t="s">
        <v>3</v>
      </c>
      <c r="C149" s="10" t="s">
        <v>304</v>
      </c>
      <c r="D149" s="10" t="s">
        <v>305</v>
      </c>
      <c r="E149" s="10" t="s">
        <v>23</v>
      </c>
      <c r="F149" s="10">
        <v>76</v>
      </c>
    </row>
    <row r="150" spans="1:6" ht="14.4" customHeight="1" x14ac:dyDescent="0.3">
      <c r="A150" s="10">
        <v>149</v>
      </c>
      <c r="B150" s="10" t="s">
        <v>3</v>
      </c>
      <c r="C150" s="10" t="s">
        <v>306</v>
      </c>
      <c r="D150" s="10" t="s">
        <v>307</v>
      </c>
      <c r="E150" s="10" t="s">
        <v>4</v>
      </c>
      <c r="F150" s="10">
        <v>75</v>
      </c>
    </row>
    <row r="151" spans="1:6" ht="14.4" customHeight="1" x14ac:dyDescent="0.3">
      <c r="A151" s="10">
        <v>150</v>
      </c>
      <c r="B151" s="10" t="s">
        <v>3</v>
      </c>
      <c r="C151" s="10" t="s">
        <v>308</v>
      </c>
      <c r="D151" s="10" t="s">
        <v>309</v>
      </c>
      <c r="E151" s="10" t="s">
        <v>50</v>
      </c>
      <c r="F151" s="10">
        <v>74</v>
      </c>
    </row>
    <row r="152" spans="1:6" ht="14.4" customHeight="1" x14ac:dyDescent="0.3">
      <c r="A152" s="10">
        <v>151</v>
      </c>
      <c r="B152" s="10" t="s">
        <v>3</v>
      </c>
      <c r="C152" s="10" t="s">
        <v>310</v>
      </c>
      <c r="D152" s="10" t="s">
        <v>311</v>
      </c>
      <c r="E152" s="10" t="s">
        <v>105</v>
      </c>
      <c r="F152" s="10">
        <v>73</v>
      </c>
    </row>
    <row r="153" spans="1:6" ht="14.4" customHeight="1" x14ac:dyDescent="0.3">
      <c r="A153" s="10">
        <v>152</v>
      </c>
      <c r="B153" s="10" t="s">
        <v>3</v>
      </c>
      <c r="C153" s="10" t="s">
        <v>312</v>
      </c>
      <c r="D153" s="10" t="s">
        <v>313</v>
      </c>
      <c r="E153" s="10" t="s">
        <v>50</v>
      </c>
      <c r="F153" s="10">
        <v>72</v>
      </c>
    </row>
    <row r="154" spans="1:6" ht="14.4" customHeight="1" x14ac:dyDescent="0.3">
      <c r="A154" s="10">
        <v>153</v>
      </c>
      <c r="B154" s="10" t="s">
        <v>3</v>
      </c>
      <c r="C154" s="10" t="s">
        <v>314</v>
      </c>
      <c r="D154" s="10" t="s">
        <v>315</v>
      </c>
      <c r="E154" s="10" t="s">
        <v>20</v>
      </c>
      <c r="F154" s="10">
        <v>71</v>
      </c>
    </row>
    <row r="155" spans="1:6" ht="14.4" customHeight="1" x14ac:dyDescent="0.3">
      <c r="A155" s="10">
        <v>154</v>
      </c>
      <c r="B155" s="10" t="s">
        <v>3</v>
      </c>
      <c r="C155" s="10" t="s">
        <v>316</v>
      </c>
      <c r="D155" s="10" t="s">
        <v>317</v>
      </c>
      <c r="E155" s="10" t="s">
        <v>14</v>
      </c>
      <c r="F155" s="10">
        <v>70</v>
      </c>
    </row>
    <row r="156" spans="1:6" ht="14.4" customHeight="1" x14ac:dyDescent="0.3">
      <c r="A156" s="10">
        <v>155</v>
      </c>
      <c r="B156" s="10" t="s">
        <v>3</v>
      </c>
      <c r="C156" s="10" t="s">
        <v>318</v>
      </c>
      <c r="D156" s="10" t="s">
        <v>319</v>
      </c>
      <c r="E156" s="10" t="s">
        <v>4</v>
      </c>
      <c r="F156" s="10">
        <v>69</v>
      </c>
    </row>
    <row r="157" spans="1:6" ht="14.4" customHeight="1" x14ac:dyDescent="0.3">
      <c r="A157" s="10">
        <v>156</v>
      </c>
      <c r="B157" s="10" t="s">
        <v>3</v>
      </c>
      <c r="C157" s="10" t="s">
        <v>320</v>
      </c>
      <c r="D157" s="10" t="s">
        <v>321</v>
      </c>
      <c r="E157" s="10" t="s">
        <v>23</v>
      </c>
      <c r="F157" s="10">
        <v>68</v>
      </c>
    </row>
    <row r="158" spans="1:6" ht="14.4" customHeight="1" x14ac:dyDescent="0.3">
      <c r="A158" s="10">
        <v>157</v>
      </c>
      <c r="B158" s="10" t="s">
        <v>3</v>
      </c>
      <c r="C158" s="10" t="s">
        <v>322</v>
      </c>
      <c r="D158" s="10" t="s">
        <v>323</v>
      </c>
      <c r="E158" s="10" t="s">
        <v>38</v>
      </c>
      <c r="F158" s="10">
        <v>67</v>
      </c>
    </row>
    <row r="159" spans="1:6" ht="14.4" customHeight="1" x14ac:dyDescent="0.3">
      <c r="A159" s="10">
        <v>158</v>
      </c>
      <c r="B159" s="10" t="s">
        <v>3</v>
      </c>
      <c r="C159" s="10" t="s">
        <v>324</v>
      </c>
      <c r="D159" s="10" t="s">
        <v>325</v>
      </c>
      <c r="E159" s="10" t="s">
        <v>50</v>
      </c>
      <c r="F159" s="10">
        <v>66</v>
      </c>
    </row>
    <row r="160" spans="1:6" ht="14.4" customHeight="1" x14ac:dyDescent="0.3">
      <c r="A160" s="10">
        <v>159</v>
      </c>
      <c r="B160" s="10" t="s">
        <v>3</v>
      </c>
      <c r="C160" s="10" t="s">
        <v>326</v>
      </c>
      <c r="D160" s="10" t="s">
        <v>327</v>
      </c>
      <c r="E160" s="10" t="s">
        <v>14</v>
      </c>
      <c r="F160" s="10">
        <v>65</v>
      </c>
    </row>
    <row r="161" spans="1:6" ht="14.4" customHeight="1" x14ac:dyDescent="0.3">
      <c r="A161" s="10">
        <v>160</v>
      </c>
      <c r="B161" s="10" t="s">
        <v>3</v>
      </c>
      <c r="C161" s="10" t="s">
        <v>328</v>
      </c>
      <c r="D161" s="10" t="s">
        <v>329</v>
      </c>
      <c r="E161" s="10" t="s">
        <v>4</v>
      </c>
      <c r="F161" s="10">
        <v>64</v>
      </c>
    </row>
    <row r="162" spans="1:6" ht="14.4" customHeight="1" x14ac:dyDescent="0.3">
      <c r="A162" s="10">
        <v>161</v>
      </c>
      <c r="B162" s="10" t="s">
        <v>3</v>
      </c>
      <c r="C162" s="10" t="s">
        <v>330</v>
      </c>
      <c r="D162" s="10" t="s">
        <v>331</v>
      </c>
      <c r="E162" s="10" t="s">
        <v>50</v>
      </c>
      <c r="F162" s="10">
        <v>63</v>
      </c>
    </row>
    <row r="163" spans="1:6" ht="14.4" customHeight="1" x14ac:dyDescent="0.3">
      <c r="A163" s="10">
        <v>162</v>
      </c>
      <c r="B163" s="10" t="s">
        <v>3</v>
      </c>
      <c r="C163" s="10" t="s">
        <v>332</v>
      </c>
      <c r="D163" s="10" t="s">
        <v>333</v>
      </c>
      <c r="E163" s="10" t="s">
        <v>23</v>
      </c>
      <c r="F163" s="10">
        <v>62</v>
      </c>
    </row>
    <row r="164" spans="1:6" ht="14.4" customHeight="1" x14ac:dyDescent="0.3">
      <c r="A164" s="10">
        <v>163</v>
      </c>
      <c r="B164" s="10" t="s">
        <v>3</v>
      </c>
      <c r="C164" s="10" t="s">
        <v>334</v>
      </c>
      <c r="D164" s="10" t="s">
        <v>335</v>
      </c>
      <c r="E164" s="10" t="s">
        <v>26</v>
      </c>
      <c r="F164" s="10">
        <v>61</v>
      </c>
    </row>
    <row r="165" spans="1:6" ht="14.4" customHeight="1" x14ac:dyDescent="0.3">
      <c r="A165" s="10">
        <v>164</v>
      </c>
      <c r="B165" s="10" t="s">
        <v>3</v>
      </c>
      <c r="C165" s="10" t="s">
        <v>336</v>
      </c>
      <c r="D165" s="10" t="s">
        <v>337</v>
      </c>
      <c r="E165" s="10" t="s">
        <v>50</v>
      </c>
      <c r="F165" s="10">
        <v>60</v>
      </c>
    </row>
    <row r="166" spans="1:6" ht="14.4" customHeight="1" x14ac:dyDescent="0.3">
      <c r="A166" s="10">
        <v>165</v>
      </c>
      <c r="B166" s="10" t="s">
        <v>3</v>
      </c>
      <c r="C166" s="10" t="s">
        <v>338</v>
      </c>
      <c r="D166" s="10" t="s">
        <v>339</v>
      </c>
      <c r="E166" s="10" t="s">
        <v>4</v>
      </c>
      <c r="F166" s="10">
        <v>59</v>
      </c>
    </row>
    <row r="167" spans="1:6" ht="14.4" customHeight="1" x14ac:dyDescent="0.3">
      <c r="A167" s="10">
        <v>166</v>
      </c>
      <c r="B167" s="10" t="s">
        <v>3</v>
      </c>
      <c r="C167" s="10" t="s">
        <v>340</v>
      </c>
      <c r="D167" s="10" t="s">
        <v>341</v>
      </c>
      <c r="E167" s="10" t="s">
        <v>20</v>
      </c>
      <c r="F167" s="10">
        <v>58</v>
      </c>
    </row>
    <row r="168" spans="1:6" ht="14.4" customHeight="1" x14ac:dyDescent="0.3">
      <c r="A168" s="10">
        <v>167</v>
      </c>
      <c r="B168" s="10" t="s">
        <v>3</v>
      </c>
      <c r="C168" s="10" t="s">
        <v>342</v>
      </c>
      <c r="D168" s="10" t="s">
        <v>343</v>
      </c>
      <c r="E168" s="10" t="s">
        <v>50</v>
      </c>
      <c r="F168" s="10">
        <v>57</v>
      </c>
    </row>
    <row r="169" spans="1:6" ht="14.4" customHeight="1" x14ac:dyDescent="0.3">
      <c r="A169" s="10">
        <v>168</v>
      </c>
      <c r="B169" s="10" t="s">
        <v>3</v>
      </c>
      <c r="C169" s="10" t="s">
        <v>344</v>
      </c>
      <c r="D169" s="10" t="s">
        <v>345</v>
      </c>
      <c r="E169" s="10" t="s">
        <v>23</v>
      </c>
      <c r="F169" s="10">
        <v>56</v>
      </c>
    </row>
    <row r="170" spans="1:6" ht="14.4" customHeight="1" x14ac:dyDescent="0.3">
      <c r="A170" s="10">
        <v>169</v>
      </c>
      <c r="B170" s="10" t="s">
        <v>3</v>
      </c>
      <c r="C170" s="10" t="s">
        <v>346</v>
      </c>
      <c r="D170" s="10" t="s">
        <v>347</v>
      </c>
      <c r="E170" s="10" t="s">
        <v>14</v>
      </c>
      <c r="F170" s="10">
        <v>55</v>
      </c>
    </row>
    <row r="171" spans="1:6" ht="14.4" customHeight="1" x14ac:dyDescent="0.3">
      <c r="A171" s="10">
        <v>170</v>
      </c>
      <c r="B171" s="10" t="s">
        <v>3</v>
      </c>
      <c r="C171" s="10" t="s">
        <v>348</v>
      </c>
      <c r="D171" s="10" t="s">
        <v>349</v>
      </c>
      <c r="E171" s="10" t="s">
        <v>83</v>
      </c>
      <c r="F171" s="10">
        <v>54</v>
      </c>
    </row>
    <row r="172" spans="1:6" ht="14.4" customHeight="1" x14ac:dyDescent="0.3">
      <c r="A172" s="10">
        <v>171</v>
      </c>
      <c r="B172" s="10" t="s">
        <v>3</v>
      </c>
      <c r="C172" s="10" t="s">
        <v>350</v>
      </c>
      <c r="D172" s="10" t="s">
        <v>351</v>
      </c>
      <c r="E172" s="10" t="s">
        <v>4</v>
      </c>
      <c r="F172" s="10">
        <v>53</v>
      </c>
    </row>
    <row r="173" spans="1:6" ht="14.4" customHeight="1" x14ac:dyDescent="0.3">
      <c r="A173" s="10">
        <v>172</v>
      </c>
      <c r="B173" s="10" t="s">
        <v>3</v>
      </c>
      <c r="C173" s="10" t="s">
        <v>352</v>
      </c>
      <c r="D173" s="10" t="s">
        <v>353</v>
      </c>
      <c r="E173" s="10" t="s">
        <v>50</v>
      </c>
      <c r="F173" s="10">
        <v>52</v>
      </c>
    </row>
    <row r="174" spans="1:6" ht="14.4" customHeight="1" x14ac:dyDescent="0.3">
      <c r="A174" s="10">
        <v>173</v>
      </c>
      <c r="B174" s="10" t="s">
        <v>3</v>
      </c>
      <c r="C174" s="10" t="s">
        <v>354</v>
      </c>
      <c r="D174" s="10" t="s">
        <v>355</v>
      </c>
      <c r="E174" s="10" t="s">
        <v>105</v>
      </c>
      <c r="F174" s="10">
        <v>51</v>
      </c>
    </row>
    <row r="175" spans="1:6" ht="14.4" customHeight="1" x14ac:dyDescent="0.3">
      <c r="A175" s="10">
        <v>174</v>
      </c>
      <c r="B175" s="10" t="s">
        <v>3</v>
      </c>
      <c r="C175" s="10" t="s">
        <v>356</v>
      </c>
      <c r="D175" s="10" t="s">
        <v>357</v>
      </c>
      <c r="E175" s="10" t="s">
        <v>26</v>
      </c>
      <c r="F175" s="10">
        <v>50</v>
      </c>
    </row>
    <row r="176" spans="1:6" ht="14.4" customHeight="1" x14ac:dyDescent="0.3">
      <c r="A176" s="10">
        <v>175</v>
      </c>
      <c r="B176" s="10" t="s">
        <v>3</v>
      </c>
      <c r="C176" s="10" t="s">
        <v>358</v>
      </c>
      <c r="D176" s="10" t="s">
        <v>359</v>
      </c>
      <c r="E176" s="10" t="s">
        <v>4</v>
      </c>
      <c r="F176" s="10">
        <v>49</v>
      </c>
    </row>
    <row r="177" spans="1:6" ht="14.4" customHeight="1" x14ac:dyDescent="0.3">
      <c r="A177" s="10">
        <v>176</v>
      </c>
      <c r="B177" s="10" t="s">
        <v>3</v>
      </c>
      <c r="C177" s="10" t="s">
        <v>360</v>
      </c>
      <c r="D177" s="10" t="s">
        <v>361</v>
      </c>
      <c r="E177" s="10" t="s">
        <v>23</v>
      </c>
      <c r="F177" s="10">
        <v>48</v>
      </c>
    </row>
    <row r="178" spans="1:6" ht="14.4" customHeight="1" x14ac:dyDescent="0.3">
      <c r="A178" s="10">
        <v>177</v>
      </c>
      <c r="B178" s="10" t="s">
        <v>3</v>
      </c>
      <c r="C178" s="10" t="s">
        <v>362</v>
      </c>
      <c r="D178" s="10" t="s">
        <v>363</v>
      </c>
      <c r="E178" s="10" t="s">
        <v>50</v>
      </c>
      <c r="F178" s="10">
        <v>47</v>
      </c>
    </row>
    <row r="179" spans="1:6" ht="14.4" customHeight="1" x14ac:dyDescent="0.3">
      <c r="A179" s="10">
        <v>178</v>
      </c>
      <c r="B179" s="10" t="s">
        <v>3</v>
      </c>
      <c r="C179" s="10" t="s">
        <v>364</v>
      </c>
      <c r="D179" s="10" t="s">
        <v>365</v>
      </c>
      <c r="E179" s="10" t="s">
        <v>14</v>
      </c>
      <c r="F179" s="10">
        <v>46</v>
      </c>
    </row>
    <row r="180" spans="1:6" ht="14.4" customHeight="1" x14ac:dyDescent="0.3">
      <c r="A180" s="10">
        <v>179</v>
      </c>
      <c r="B180" s="10" t="s">
        <v>3</v>
      </c>
      <c r="C180" s="10" t="s">
        <v>366</v>
      </c>
      <c r="D180" s="10" t="s">
        <v>366</v>
      </c>
      <c r="E180" s="10" t="s">
        <v>20</v>
      </c>
      <c r="F180" s="10">
        <v>45</v>
      </c>
    </row>
    <row r="181" spans="1:6" ht="14.4" customHeight="1" x14ac:dyDescent="0.3">
      <c r="A181" s="10">
        <v>180</v>
      </c>
      <c r="B181" s="10" t="s">
        <v>3</v>
      </c>
      <c r="C181" s="10" t="s">
        <v>367</v>
      </c>
      <c r="D181" s="10" t="s">
        <v>368</v>
      </c>
      <c r="E181" s="10" t="s">
        <v>4</v>
      </c>
      <c r="F181" s="10">
        <v>44</v>
      </c>
    </row>
    <row r="182" spans="1:6" ht="14.4" customHeight="1" x14ac:dyDescent="0.3">
      <c r="A182" s="10">
        <v>181</v>
      </c>
      <c r="B182" s="10" t="s">
        <v>3</v>
      </c>
      <c r="C182" s="10" t="s">
        <v>369</v>
      </c>
      <c r="D182" s="10" t="s">
        <v>370</v>
      </c>
      <c r="E182" s="10" t="s">
        <v>26</v>
      </c>
      <c r="F182" s="10">
        <v>43</v>
      </c>
    </row>
    <row r="183" spans="1:6" ht="14.4" customHeight="1" x14ac:dyDescent="0.3">
      <c r="A183" s="10">
        <v>182</v>
      </c>
      <c r="B183" s="10" t="s">
        <v>3</v>
      </c>
      <c r="C183" s="10" t="s">
        <v>371</v>
      </c>
      <c r="D183" s="10" t="s">
        <v>372</v>
      </c>
      <c r="E183" s="10" t="s">
        <v>50</v>
      </c>
      <c r="F183" s="10">
        <v>42</v>
      </c>
    </row>
    <row r="184" spans="1:6" ht="14.4" customHeight="1" x14ac:dyDescent="0.3">
      <c r="A184" s="10">
        <v>183</v>
      </c>
      <c r="B184" s="10" t="s">
        <v>3</v>
      </c>
      <c r="C184" s="10" t="s">
        <v>373</v>
      </c>
      <c r="D184" s="10" t="s">
        <v>374</v>
      </c>
      <c r="E184" s="10" t="s">
        <v>38</v>
      </c>
      <c r="F184" s="10">
        <v>41</v>
      </c>
    </row>
    <row r="185" spans="1:6" ht="14.4" customHeight="1" x14ac:dyDescent="0.3">
      <c r="A185" s="10">
        <v>184</v>
      </c>
      <c r="B185" s="10" t="s">
        <v>3</v>
      </c>
      <c r="C185" s="10" t="s">
        <v>375</v>
      </c>
      <c r="D185" s="10" t="s">
        <v>376</v>
      </c>
      <c r="E185" s="10" t="s">
        <v>14</v>
      </c>
      <c r="F185" s="10">
        <v>40</v>
      </c>
    </row>
    <row r="186" spans="1:6" ht="14.4" customHeight="1" x14ac:dyDescent="0.3">
      <c r="A186" s="10">
        <v>185</v>
      </c>
      <c r="B186" s="10" t="s">
        <v>3</v>
      </c>
      <c r="C186" s="10" t="s">
        <v>377</v>
      </c>
      <c r="D186" s="10" t="s">
        <v>378</v>
      </c>
      <c r="E186" s="10" t="s">
        <v>23</v>
      </c>
      <c r="F186" s="10">
        <v>39</v>
      </c>
    </row>
    <row r="187" spans="1:6" ht="14.4" customHeight="1" x14ac:dyDescent="0.3">
      <c r="A187" s="10">
        <v>186</v>
      </c>
      <c r="B187" s="10" t="s">
        <v>3</v>
      </c>
      <c r="C187" s="10" t="s">
        <v>379</v>
      </c>
      <c r="D187" s="10" t="s">
        <v>380</v>
      </c>
      <c r="E187" s="10" t="s">
        <v>20</v>
      </c>
      <c r="F187" s="10">
        <v>38</v>
      </c>
    </row>
    <row r="188" spans="1:6" ht="14.4" customHeight="1" x14ac:dyDescent="0.3">
      <c r="A188" s="10">
        <v>187</v>
      </c>
      <c r="B188" s="10" t="s">
        <v>3</v>
      </c>
      <c r="C188" s="10" t="s">
        <v>381</v>
      </c>
      <c r="D188" s="10" t="s">
        <v>382</v>
      </c>
      <c r="E188" s="10" t="s">
        <v>50</v>
      </c>
      <c r="F188" s="10">
        <v>37</v>
      </c>
    </row>
    <row r="189" spans="1:6" ht="14.4" customHeight="1" x14ac:dyDescent="0.3">
      <c r="A189" s="10">
        <v>188</v>
      </c>
      <c r="B189" s="10" t="s">
        <v>3</v>
      </c>
      <c r="C189" s="10" t="s">
        <v>383</v>
      </c>
      <c r="D189" s="10" t="s">
        <v>384</v>
      </c>
      <c r="E189" s="10" t="s">
        <v>83</v>
      </c>
      <c r="F189" s="10">
        <v>36</v>
      </c>
    </row>
    <row r="190" spans="1:6" ht="14.4" customHeight="1" x14ac:dyDescent="0.3">
      <c r="A190" s="10">
        <v>189</v>
      </c>
      <c r="B190" s="10" t="s">
        <v>3</v>
      </c>
      <c r="C190" s="10" t="s">
        <v>385</v>
      </c>
      <c r="D190" s="10" t="s">
        <v>386</v>
      </c>
      <c r="E190" s="10" t="s">
        <v>14</v>
      </c>
      <c r="F190" s="10">
        <v>35</v>
      </c>
    </row>
    <row r="191" spans="1:6" ht="14.4" customHeight="1" x14ac:dyDescent="0.3">
      <c r="A191" s="10">
        <v>190</v>
      </c>
      <c r="B191" s="10" t="s">
        <v>3</v>
      </c>
      <c r="C191" s="10" t="s">
        <v>387</v>
      </c>
      <c r="D191" s="10" t="s">
        <v>388</v>
      </c>
      <c r="E191" s="10" t="s">
        <v>4</v>
      </c>
      <c r="F191" s="10">
        <v>34</v>
      </c>
    </row>
    <row r="192" spans="1:6" ht="14.4" customHeight="1" x14ac:dyDescent="0.3">
      <c r="A192" s="10">
        <v>191</v>
      </c>
      <c r="B192" s="10" t="s">
        <v>3</v>
      </c>
      <c r="C192" s="10" t="s">
        <v>389</v>
      </c>
      <c r="D192" s="10" t="s">
        <v>390</v>
      </c>
      <c r="E192" s="10" t="s">
        <v>50</v>
      </c>
      <c r="F192" s="10">
        <v>33</v>
      </c>
    </row>
    <row r="193" spans="1:6" ht="14.4" customHeight="1" x14ac:dyDescent="0.3">
      <c r="A193" s="10">
        <v>192</v>
      </c>
      <c r="B193" s="10" t="s">
        <v>3</v>
      </c>
      <c r="C193" s="10" t="s">
        <v>391</v>
      </c>
      <c r="D193" s="10" t="s">
        <v>392</v>
      </c>
      <c r="E193" s="10" t="s">
        <v>105</v>
      </c>
      <c r="F193" s="10">
        <v>32</v>
      </c>
    </row>
    <row r="194" spans="1:6" ht="14.4" customHeight="1" x14ac:dyDescent="0.3">
      <c r="A194" s="10">
        <v>193</v>
      </c>
      <c r="B194" s="10" t="s">
        <v>3</v>
      </c>
      <c r="C194" s="10" t="s">
        <v>393</v>
      </c>
      <c r="D194" s="10" t="s">
        <v>394</v>
      </c>
      <c r="E194" s="10" t="s">
        <v>26</v>
      </c>
      <c r="F194" s="10">
        <v>31</v>
      </c>
    </row>
    <row r="195" spans="1:6" ht="14.4" customHeight="1" x14ac:dyDescent="0.3">
      <c r="A195" s="10">
        <v>194</v>
      </c>
      <c r="B195" s="10" t="s">
        <v>3</v>
      </c>
      <c r="C195" s="10" t="s">
        <v>395</v>
      </c>
      <c r="D195" s="10" t="s">
        <v>396</v>
      </c>
      <c r="E195" s="10" t="s">
        <v>50</v>
      </c>
      <c r="F195" s="10">
        <v>30</v>
      </c>
    </row>
    <row r="196" spans="1:6" ht="14.4" customHeight="1" x14ac:dyDescent="0.3">
      <c r="A196" s="10">
        <v>195</v>
      </c>
      <c r="B196" s="10" t="s">
        <v>3</v>
      </c>
      <c r="C196" s="10" t="s">
        <v>397</v>
      </c>
      <c r="D196" s="10" t="s">
        <v>398</v>
      </c>
      <c r="E196" s="10" t="s">
        <v>20</v>
      </c>
      <c r="F196" s="10">
        <v>29</v>
      </c>
    </row>
    <row r="197" spans="1:6" ht="14.4" customHeight="1" x14ac:dyDescent="0.3">
      <c r="A197" s="10">
        <v>196</v>
      </c>
      <c r="B197" s="10" t="s">
        <v>3</v>
      </c>
      <c r="C197" s="10" t="s">
        <v>399</v>
      </c>
      <c r="D197" s="10" t="s">
        <v>400</v>
      </c>
      <c r="E197" s="10" t="s">
        <v>14</v>
      </c>
      <c r="F197" s="10">
        <v>28</v>
      </c>
    </row>
    <row r="198" spans="1:6" ht="14.4" customHeight="1" x14ac:dyDescent="0.3">
      <c r="A198" s="10">
        <v>197</v>
      </c>
      <c r="B198" s="10" t="s">
        <v>3</v>
      </c>
      <c r="C198" s="10" t="s">
        <v>401</v>
      </c>
      <c r="D198" s="10" t="s">
        <v>402</v>
      </c>
      <c r="E198" s="10" t="s">
        <v>83</v>
      </c>
      <c r="F198" s="10">
        <v>27</v>
      </c>
    </row>
    <row r="199" spans="1:6" ht="14.4" customHeight="1" x14ac:dyDescent="0.3">
      <c r="A199" s="10">
        <v>198</v>
      </c>
      <c r="B199" s="10" t="s">
        <v>3</v>
      </c>
      <c r="C199" s="10" t="s">
        <v>403</v>
      </c>
      <c r="D199" s="10" t="s">
        <v>404</v>
      </c>
      <c r="E199" s="10" t="s">
        <v>23</v>
      </c>
      <c r="F199" s="10">
        <v>26</v>
      </c>
    </row>
    <row r="200" spans="1:6" ht="14.4" customHeight="1" x14ac:dyDescent="0.3">
      <c r="A200" s="10">
        <v>199</v>
      </c>
      <c r="B200" s="10" t="s">
        <v>3</v>
      </c>
      <c r="C200" s="10" t="s">
        <v>405</v>
      </c>
      <c r="D200" s="10" t="s">
        <v>406</v>
      </c>
      <c r="E200" s="10" t="s">
        <v>50</v>
      </c>
      <c r="F200" s="10">
        <v>25</v>
      </c>
    </row>
    <row r="201" spans="1:6" ht="14.4" customHeight="1" x14ac:dyDescent="0.3">
      <c r="A201" s="10">
        <v>200</v>
      </c>
      <c r="B201" s="10" t="s">
        <v>3</v>
      </c>
      <c r="C201" s="10" t="s">
        <v>407</v>
      </c>
      <c r="D201" s="10" t="s">
        <v>408</v>
      </c>
      <c r="E201" s="10" t="s">
        <v>14</v>
      </c>
      <c r="F201" s="10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3716-88A3-41EF-AE55-6FE31718A9A4}">
  <dimension ref="A1:AD118"/>
  <sheetViews>
    <sheetView zoomScale="70" zoomScaleNormal="70" workbookViewId="0">
      <pane xSplit="2" ySplit="2" topLeftCell="C104" activePane="bottomRight" state="frozen"/>
      <selection pane="topRight" activeCell="C1" sqref="C1"/>
      <selection pane="bottomLeft" activeCell="A3" sqref="A3"/>
      <selection pane="bottomRight" activeCell="J20" sqref="J20"/>
    </sheetView>
  </sheetViews>
  <sheetFormatPr defaultRowHeight="14.4" x14ac:dyDescent="0.3"/>
  <cols>
    <col min="1" max="1" width="7.6640625" style="1" customWidth="1"/>
    <col min="2" max="2" width="22.33203125" style="1" customWidth="1"/>
    <col min="3" max="3" width="14.88671875" style="1" customWidth="1"/>
    <col min="4" max="4" width="25.33203125" style="1" customWidth="1"/>
    <col min="5" max="5" width="9.109375" style="21" customWidth="1"/>
    <col min="6" max="6" width="13" customWidth="1"/>
    <col min="7" max="7" width="14.44140625" style="1" customWidth="1"/>
    <col min="8" max="8" width="15.5546875" customWidth="1"/>
    <col min="9" max="9" width="13.109375" hidden="1" customWidth="1"/>
    <col min="10" max="10" width="13.5546875" customWidth="1"/>
    <col min="11" max="11" width="13.109375" style="22" hidden="1" customWidth="1"/>
    <col min="12" max="12" width="14.109375" customWidth="1"/>
    <col min="13" max="13" width="11.88671875" hidden="1" customWidth="1"/>
    <col min="14" max="14" width="13.5546875" customWidth="1"/>
    <col min="15" max="15" width="10.33203125" hidden="1" customWidth="1"/>
    <col min="16" max="16" width="11.44140625" customWidth="1"/>
    <col min="17" max="17" width="10.33203125" hidden="1" customWidth="1"/>
    <col min="18" max="18" width="11.44140625" customWidth="1"/>
    <col min="19" max="19" width="10.33203125" hidden="1" customWidth="1"/>
    <col min="20" max="20" width="13.33203125" customWidth="1"/>
    <col min="21" max="21" width="10.33203125" hidden="1" customWidth="1"/>
    <col min="22" max="22" width="13.33203125" customWidth="1"/>
    <col min="23" max="23" width="10.33203125" hidden="1" customWidth="1"/>
    <col min="24" max="24" width="12.6640625" customWidth="1"/>
    <col min="25" max="25" width="12.6640625" hidden="1" customWidth="1"/>
    <col min="26" max="26" width="13" customWidth="1"/>
    <col min="27" max="27" width="10.33203125" hidden="1" customWidth="1"/>
    <col min="28" max="28" width="11.109375" bestFit="1" customWidth="1"/>
    <col min="29" max="29" width="10.33203125" hidden="1" customWidth="1"/>
    <col min="30" max="30" width="13.5546875" customWidth="1"/>
  </cols>
  <sheetData>
    <row r="1" spans="1:30" x14ac:dyDescent="0.3">
      <c r="A1" s="1" t="s">
        <v>453</v>
      </c>
      <c r="B1" s="13">
        <v>10000</v>
      </c>
    </row>
    <row r="2" spans="1:30" ht="28.8" customHeight="1" x14ac:dyDescent="0.3">
      <c r="A2" s="9" t="s">
        <v>0</v>
      </c>
      <c r="B2" s="9" t="s">
        <v>163</v>
      </c>
      <c r="C2" s="9" t="s">
        <v>164</v>
      </c>
      <c r="D2" s="9" t="s">
        <v>2</v>
      </c>
      <c r="E2" s="33" t="s">
        <v>413</v>
      </c>
      <c r="F2" s="8" t="s">
        <v>410</v>
      </c>
      <c r="G2" s="8" t="s">
        <v>409</v>
      </c>
      <c r="H2" s="8" t="s">
        <v>427</v>
      </c>
      <c r="I2" s="8" t="s">
        <v>414</v>
      </c>
      <c r="J2" s="8" t="s">
        <v>428</v>
      </c>
      <c r="K2" s="23" t="s">
        <v>415</v>
      </c>
      <c r="L2" s="8" t="s">
        <v>429</v>
      </c>
      <c r="M2" s="8" t="s">
        <v>416</v>
      </c>
      <c r="N2" s="8" t="s">
        <v>430</v>
      </c>
      <c r="O2" s="8" t="s">
        <v>419</v>
      </c>
      <c r="P2" s="8" t="s">
        <v>431</v>
      </c>
      <c r="Q2" s="8" t="s">
        <v>420</v>
      </c>
      <c r="R2" s="8" t="s">
        <v>432</v>
      </c>
      <c r="S2" s="8" t="s">
        <v>421</v>
      </c>
      <c r="T2" s="8" t="s">
        <v>433</v>
      </c>
      <c r="U2" s="8" t="s">
        <v>422</v>
      </c>
      <c r="V2" s="8" t="s">
        <v>434</v>
      </c>
      <c r="W2" s="8" t="s">
        <v>423</v>
      </c>
      <c r="X2" s="8" t="s">
        <v>435</v>
      </c>
      <c r="Y2" s="8" t="s">
        <v>424</v>
      </c>
      <c r="Z2" s="8" t="s">
        <v>436</v>
      </c>
      <c r="AA2" s="8" t="s">
        <v>425</v>
      </c>
      <c r="AB2" s="8" t="s">
        <v>437</v>
      </c>
      <c r="AC2" s="8" t="s">
        <v>426</v>
      </c>
      <c r="AD2" s="8" t="s">
        <v>438</v>
      </c>
    </row>
    <row r="3" spans="1:30" ht="19.2" customHeight="1" x14ac:dyDescent="0.3">
      <c r="A3" s="26" t="s">
        <v>417</v>
      </c>
      <c r="B3" s="9"/>
      <c r="C3" s="9"/>
      <c r="D3" s="9"/>
      <c r="E3" s="33"/>
      <c r="F3" s="8"/>
      <c r="G3" s="8"/>
      <c r="H3" s="9"/>
      <c r="I3" s="8"/>
      <c r="J3" s="9"/>
      <c r="K3" s="23"/>
      <c r="L3" s="9"/>
      <c r="M3" s="8"/>
      <c r="N3" s="9"/>
      <c r="O3" s="8"/>
      <c r="P3" s="9"/>
      <c r="Q3" s="8"/>
      <c r="R3" s="9"/>
      <c r="S3" s="8"/>
      <c r="T3" s="9"/>
      <c r="U3" s="8"/>
      <c r="V3" s="9"/>
      <c r="W3" s="8"/>
      <c r="X3" s="9"/>
      <c r="Y3" s="8"/>
      <c r="Z3" s="9"/>
      <c r="AA3" s="8"/>
      <c r="AB3" s="9"/>
      <c r="AC3" s="8"/>
      <c r="AD3" s="9"/>
    </row>
    <row r="4" spans="1:30" ht="19.2" customHeight="1" x14ac:dyDescent="0.3">
      <c r="A4" s="1">
        <v>1</v>
      </c>
      <c r="B4" s="1" t="str">
        <f>VLOOKUP(C4,Universe!$C$2:$E$201,3,FALSE)</f>
        <v>Information Technology</v>
      </c>
      <c r="C4" s="1" t="s">
        <v>101</v>
      </c>
      <c r="D4" s="1" t="str">
        <f>VLOOKUP(C4,Universe!$C$2:$D$201,2,FALSE)</f>
        <v>Intel Corp.</v>
      </c>
      <c r="E4" s="21">
        <v>0.15</v>
      </c>
      <c r="F4" s="16">
        <f t="shared" ref="F4:F15" si="0">($B$1*E4)/G4</f>
        <v>30.248033877797941</v>
      </c>
      <c r="G4" s="28">
        <v>49.59</v>
      </c>
      <c r="H4" s="30">
        <f>F4*G4</f>
        <v>1500</v>
      </c>
      <c r="I4" s="30">
        <v>42.79</v>
      </c>
      <c r="J4" s="30">
        <f t="shared" ref="J4:J15" si="1">F4*I4</f>
        <v>1294.3133696309737</v>
      </c>
      <c r="K4" s="30">
        <v>43.37</v>
      </c>
      <c r="L4" s="30">
        <f t="shared" ref="L4:L15" si="2">F4*K4</f>
        <v>1311.8572292800966</v>
      </c>
    </row>
    <row r="5" spans="1:30" x14ac:dyDescent="0.3">
      <c r="A5" s="1">
        <v>2</v>
      </c>
      <c r="B5" s="1" t="str">
        <f>VLOOKUP(C5,Universe!$C$2:$E$201,3,FALSE)</f>
        <v>Health Care</v>
      </c>
      <c r="C5" s="1" t="s">
        <v>24</v>
      </c>
      <c r="D5" s="1" t="str">
        <f>VLOOKUP(C5,Universe!$C$2:$D$201,2,FALSE)</f>
        <v>Eli Lilly and Company</v>
      </c>
      <c r="E5" s="21">
        <v>0.15</v>
      </c>
      <c r="F5" s="16">
        <f t="shared" si="0"/>
        <v>2.6093763590501871</v>
      </c>
      <c r="G5" s="28">
        <v>574.85</v>
      </c>
      <c r="H5" s="30">
        <f t="shared" ref="H5:H15" si="3">F5*G5</f>
        <v>1500</v>
      </c>
      <c r="I5" s="30">
        <v>651.29</v>
      </c>
      <c r="J5" s="30">
        <f t="shared" si="1"/>
        <v>1699.4607288857962</v>
      </c>
      <c r="K5" s="30">
        <v>772.65</v>
      </c>
      <c r="L5" s="30">
        <f t="shared" si="2"/>
        <v>2016.1346438201269</v>
      </c>
    </row>
    <row r="6" spans="1:30" x14ac:dyDescent="0.3">
      <c r="A6" s="1">
        <v>3</v>
      </c>
      <c r="B6" s="1" t="str">
        <f>VLOOKUP(C6,Universe!$C$2:$E$201,3,FALSE)</f>
        <v>Consumer Discretionary</v>
      </c>
      <c r="C6" s="24" t="s">
        <v>100</v>
      </c>
      <c r="D6" s="24" t="str">
        <f>VLOOKUP(C6,Universe!$C$2:$D$201,2,FALSE)</f>
        <v>Booking Holdings</v>
      </c>
      <c r="E6" s="34">
        <v>0.15</v>
      </c>
      <c r="F6" s="25">
        <f t="shared" si="0"/>
        <v>0.42978588067424806</v>
      </c>
      <c r="G6" s="29">
        <v>3490.11</v>
      </c>
      <c r="H6" s="30">
        <f t="shared" si="3"/>
        <v>1500</v>
      </c>
      <c r="I6" s="31">
        <v>3501.16</v>
      </c>
      <c r="J6" s="31">
        <f t="shared" si="1"/>
        <v>1504.7491339814503</v>
      </c>
      <c r="K6" s="31">
        <v>3443.39</v>
      </c>
      <c r="L6" s="31">
        <f t="shared" si="2"/>
        <v>1479.920403654899</v>
      </c>
    </row>
    <row r="7" spans="1:30" x14ac:dyDescent="0.3">
      <c r="A7" s="1">
        <v>4</v>
      </c>
      <c r="B7" s="1" t="str">
        <f>VLOOKUP(C7,Universe!$C$2:$E$201,3,FALSE)</f>
        <v>Consumer Discretionary</v>
      </c>
      <c r="C7" s="1" t="s">
        <v>15</v>
      </c>
      <c r="D7" s="1" t="str">
        <f>VLOOKUP(C7,Universe!$C$2:$D$201,2,FALSE)</f>
        <v>Amazon.com Inc.</v>
      </c>
      <c r="E7" s="21">
        <v>0.1</v>
      </c>
      <c r="F7" s="16">
        <f t="shared" si="0"/>
        <v>6.5815453468474399</v>
      </c>
      <c r="G7" s="28">
        <v>151.94</v>
      </c>
      <c r="H7" s="30">
        <f t="shared" si="3"/>
        <v>1000</v>
      </c>
      <c r="I7" s="30">
        <v>159.28</v>
      </c>
      <c r="J7" s="30">
        <f t="shared" si="1"/>
        <v>1048.3085428458603</v>
      </c>
      <c r="K7" s="30">
        <v>178.22</v>
      </c>
      <c r="L7" s="30">
        <f t="shared" si="2"/>
        <v>1172.9630117151507</v>
      </c>
    </row>
    <row r="8" spans="1:30" x14ac:dyDescent="0.3">
      <c r="A8" s="1">
        <v>5</v>
      </c>
      <c r="B8" s="1" t="str">
        <f>VLOOKUP(C8,Universe!$C$2:$E$201,3,FALSE)</f>
        <v>Information Technology</v>
      </c>
      <c r="C8" s="1" t="s">
        <v>290</v>
      </c>
      <c r="D8" s="1" t="str">
        <f>VLOOKUP(C8,Universe!$C$2:$D$201,2,FALSE)</f>
        <v>Workday Inc.</v>
      </c>
      <c r="E8" s="21">
        <v>0.10829999999999999</v>
      </c>
      <c r="F8" s="16">
        <f t="shared" si="0"/>
        <v>3.9230602043034124</v>
      </c>
      <c r="G8" s="28">
        <v>276.06</v>
      </c>
      <c r="H8" s="30">
        <f t="shared" si="3"/>
        <v>1083</v>
      </c>
      <c r="I8" s="30">
        <v>294</v>
      </c>
      <c r="J8" s="30">
        <f t="shared" si="1"/>
        <v>1153.3797000652032</v>
      </c>
      <c r="K8" s="30">
        <v>291.92</v>
      </c>
      <c r="L8" s="30">
        <f t="shared" si="2"/>
        <v>1145.2197348402522</v>
      </c>
    </row>
    <row r="9" spans="1:30" x14ac:dyDescent="0.3">
      <c r="A9" s="1">
        <v>6</v>
      </c>
      <c r="B9" s="1" t="str">
        <f>VLOOKUP(C9,Universe!$C$2:$E$201,3,FALSE)</f>
        <v>Information Technology</v>
      </c>
      <c r="C9" s="1" t="s">
        <v>358</v>
      </c>
      <c r="D9" s="1" t="str">
        <f>VLOOKUP(C9,Universe!$C$2:$D$201,2,FALSE)</f>
        <v>Seagate Tech.</v>
      </c>
      <c r="E9" s="21">
        <v>6.9400000000000003E-2</v>
      </c>
      <c r="F9" s="16">
        <f t="shared" si="0"/>
        <v>8.5069870066192692</v>
      </c>
      <c r="G9" s="28">
        <v>81.58</v>
      </c>
      <c r="H9" s="30">
        <f t="shared" si="3"/>
        <v>694</v>
      </c>
      <c r="I9" s="30">
        <v>82.94</v>
      </c>
      <c r="J9" s="30">
        <f t="shared" si="1"/>
        <v>705.56950232900215</v>
      </c>
      <c r="K9" s="30">
        <v>92.84</v>
      </c>
      <c r="L9" s="30">
        <f t="shared" si="2"/>
        <v>789.78867369453303</v>
      </c>
    </row>
    <row r="10" spans="1:30" x14ac:dyDescent="0.3">
      <c r="A10" s="1">
        <v>7</v>
      </c>
      <c r="B10" s="1" t="str">
        <f>VLOOKUP(C10,Universe!$C$2:$E$201,3,FALSE)</f>
        <v>Information Technology</v>
      </c>
      <c r="C10" s="24" t="s">
        <v>294</v>
      </c>
      <c r="D10" s="24" t="str">
        <f>VLOOKUP(C10,Universe!$C$2:$D$201,2,FALSE)</f>
        <v>Atlassian Corp.</v>
      </c>
      <c r="E10" s="34">
        <v>9.69E-2</v>
      </c>
      <c r="F10" s="25">
        <f t="shared" si="0"/>
        <v>4.0738249390397714</v>
      </c>
      <c r="G10" s="29">
        <v>237.86</v>
      </c>
      <c r="H10" s="30">
        <f t="shared" si="3"/>
        <v>969.00000000000011</v>
      </c>
      <c r="I10" s="31">
        <v>254.9</v>
      </c>
      <c r="J10" s="31">
        <f t="shared" si="1"/>
        <v>1038.4179769612379</v>
      </c>
      <c r="K10" s="31">
        <v>209.2</v>
      </c>
      <c r="L10" s="31">
        <f t="shared" si="2"/>
        <v>852.24417724712009</v>
      </c>
    </row>
    <row r="11" spans="1:30" x14ac:dyDescent="0.3">
      <c r="A11" s="1">
        <v>8</v>
      </c>
      <c r="B11" s="1" t="str">
        <f>VLOOKUP(C11,Universe!$C$2:$E$201,3,FALSE)</f>
        <v>Information Technology</v>
      </c>
      <c r="C11" s="1" t="s">
        <v>16</v>
      </c>
      <c r="D11" s="1" t="str">
        <f>VLOOKUP(C11,Universe!$C$2:$D$201,2,FALSE)</f>
        <v>Meta Platforms Inc.</v>
      </c>
      <c r="E11" s="21">
        <v>6.54E-2</v>
      </c>
      <c r="F11" s="16">
        <f t="shared" si="0"/>
        <v>1.8605974395448079</v>
      </c>
      <c r="G11" s="28">
        <v>351.5</v>
      </c>
      <c r="H11" s="30">
        <f t="shared" si="3"/>
        <v>654</v>
      </c>
      <c r="I11" s="30">
        <v>392.04</v>
      </c>
      <c r="J11" s="30">
        <f t="shared" si="1"/>
        <v>729.42862019914651</v>
      </c>
      <c r="K11" s="30">
        <v>499.34</v>
      </c>
      <c r="L11" s="30">
        <f t="shared" si="2"/>
        <v>929.07072546230438</v>
      </c>
    </row>
    <row r="12" spans="1:30" x14ac:dyDescent="0.3">
      <c r="A12" s="1">
        <v>9</v>
      </c>
      <c r="B12" s="1" t="str">
        <f>VLOOKUP(C12,Universe!$C$2:$E$201,3,FALSE)</f>
        <v>Consumer Discretionary</v>
      </c>
      <c r="C12" s="1" t="s">
        <v>41</v>
      </c>
      <c r="D12" s="1" t="str">
        <f>VLOOKUP(C12,Universe!$C$2:$D$201,2,FALSE)</f>
        <v>Netflix Inc.</v>
      </c>
      <c r="E12" s="21">
        <v>2.93E-2</v>
      </c>
      <c r="F12" s="16">
        <f t="shared" si="0"/>
        <v>6.0176627644280138</v>
      </c>
      <c r="G12" s="28">
        <v>48.69</v>
      </c>
      <c r="H12" s="30">
        <f t="shared" si="3"/>
        <v>293</v>
      </c>
      <c r="I12" s="30">
        <v>56.75</v>
      </c>
      <c r="J12" s="30">
        <f t="shared" si="1"/>
        <v>341.5023618812898</v>
      </c>
      <c r="K12" s="30">
        <v>61.93</v>
      </c>
      <c r="L12" s="30">
        <f t="shared" si="2"/>
        <v>372.67385500102688</v>
      </c>
    </row>
    <row r="13" spans="1:30" x14ac:dyDescent="0.3">
      <c r="A13" s="1">
        <v>10</v>
      </c>
      <c r="B13" s="1" t="str">
        <f>VLOOKUP(C13,Universe!$C$2:$E$201,3,FALSE)</f>
        <v>Industrials</v>
      </c>
      <c r="C13" s="1" t="s">
        <v>51</v>
      </c>
      <c r="D13" s="1" t="str">
        <f>VLOOKUP(C13,Universe!$C$2:$D$201,2,FALSE)</f>
        <v>GE Aerospace</v>
      </c>
      <c r="E13" s="21">
        <v>2.7E-2</v>
      </c>
      <c r="F13" s="16">
        <f t="shared" si="0"/>
        <v>2.6804328402660578</v>
      </c>
      <c r="G13" s="28">
        <v>100.73</v>
      </c>
      <c r="H13" s="30">
        <f t="shared" si="3"/>
        <v>270</v>
      </c>
      <c r="I13" s="30">
        <v>106.87</v>
      </c>
      <c r="J13" s="30">
        <f t="shared" si="1"/>
        <v>286.45785763923362</v>
      </c>
      <c r="K13" s="30">
        <v>125.22</v>
      </c>
      <c r="L13" s="30">
        <f t="shared" si="2"/>
        <v>335.64380025811573</v>
      </c>
    </row>
    <row r="14" spans="1:30" x14ac:dyDescent="0.3">
      <c r="A14" s="1">
        <v>11</v>
      </c>
      <c r="B14" s="1" t="str">
        <f>VLOOKUP(C14,Universe!$C$2:$E$201,3,FALSE)</f>
        <v>Information Technology</v>
      </c>
      <c r="C14" s="1" t="s">
        <v>70</v>
      </c>
      <c r="D14" s="1" t="str">
        <f>VLOOKUP(C14,Universe!$C$2:$D$201,2,FALSE)</f>
        <v>Salesforce Inc.</v>
      </c>
      <c r="E14" s="21">
        <v>2.0400000000000001E-2</v>
      </c>
      <c r="F14" s="16">
        <f t="shared" si="0"/>
        <v>0.78341013824884809</v>
      </c>
      <c r="G14" s="28">
        <v>260.39999999999998</v>
      </c>
      <c r="H14" s="30">
        <f t="shared" si="3"/>
        <v>204.00000000000003</v>
      </c>
      <c r="I14" s="30">
        <v>280.85000000000002</v>
      </c>
      <c r="J14" s="30">
        <f t="shared" si="1"/>
        <v>220.02073732718901</v>
      </c>
      <c r="K14" s="30">
        <v>313.58</v>
      </c>
      <c r="L14" s="30">
        <f t="shared" si="2"/>
        <v>245.66175115207378</v>
      </c>
    </row>
    <row r="15" spans="1:30" x14ac:dyDescent="0.3">
      <c r="A15" s="1">
        <v>12</v>
      </c>
      <c r="B15" s="1" t="str">
        <f>VLOOKUP(C15,Universe!$C$2:$E$201,3,FALSE)</f>
        <v>Industrials</v>
      </c>
      <c r="C15" s="1" t="s">
        <v>139</v>
      </c>
      <c r="D15" s="1" t="str">
        <f>VLOOKUP(C15,Universe!$C$2:$D$201,2,FALSE)</f>
        <v>Eaton Corp</v>
      </c>
      <c r="E15" s="21">
        <v>1.32E-2</v>
      </c>
      <c r="F15" s="16">
        <f t="shared" si="0"/>
        <v>0.56050955414012738</v>
      </c>
      <c r="G15" s="17">
        <v>235.5</v>
      </c>
      <c r="H15" s="30">
        <f t="shared" si="3"/>
        <v>132</v>
      </c>
      <c r="I15" s="30">
        <v>258.73</v>
      </c>
      <c r="J15" s="30">
        <f t="shared" si="1"/>
        <v>145.02063694267517</v>
      </c>
      <c r="K15" s="30">
        <v>287.22000000000003</v>
      </c>
      <c r="L15" s="30">
        <f t="shared" si="2"/>
        <v>160.98955414012741</v>
      </c>
    </row>
    <row r="16" spans="1:30" x14ac:dyDescent="0.3">
      <c r="F16" t="s">
        <v>411</v>
      </c>
      <c r="G16" s="17"/>
      <c r="H16" s="30">
        <f>SUM(H4:H15)</f>
        <v>9799</v>
      </c>
      <c r="J16" s="30">
        <f>SUM(J4:J15)</f>
        <v>10166.62916868906</v>
      </c>
      <c r="L16" s="30">
        <f>SUM(L4:L15)</f>
        <v>10812.167560265829</v>
      </c>
    </row>
    <row r="17" spans="1:14" x14ac:dyDescent="0.3">
      <c r="G17" s="17"/>
      <c r="J17" s="21">
        <f>(J16-H16)/H16</f>
        <v>3.7517008744673938E-2</v>
      </c>
      <c r="L17" s="21">
        <f>(L16-J16)/J16</f>
        <v>6.3495813692593647E-2</v>
      </c>
    </row>
    <row r="18" spans="1:14" x14ac:dyDescent="0.3">
      <c r="F18" s="16"/>
      <c r="G18" s="17"/>
      <c r="H18" s="19"/>
      <c r="I18" s="19"/>
      <c r="J18" s="19"/>
      <c r="L18" s="22"/>
    </row>
    <row r="19" spans="1:14" x14ac:dyDescent="0.3">
      <c r="A19" s="26" t="s">
        <v>418</v>
      </c>
      <c r="D19" s="28">
        <f>SUM(L4:L15)</f>
        <v>10812.167560265829</v>
      </c>
      <c r="F19" s="16"/>
      <c r="G19" s="17"/>
      <c r="H19" s="19"/>
      <c r="I19" s="19"/>
      <c r="J19" s="19"/>
      <c r="L19" s="22"/>
    </row>
    <row r="20" spans="1:14" x14ac:dyDescent="0.3">
      <c r="A20" s="1">
        <v>1</v>
      </c>
      <c r="B20" s="1" t="str">
        <f>VLOOKUP(C20,Universe!$C$2:$E$201,3,FALSE)</f>
        <v>Consumer Discretionary</v>
      </c>
      <c r="C20" s="1" t="s">
        <v>15</v>
      </c>
      <c r="D20" s="1" t="str">
        <f>VLOOKUP(C20,Universe!$C$2:$D$201,2,FALSE)</f>
        <v>Amazon.com Inc.</v>
      </c>
      <c r="E20" s="21">
        <v>0.15</v>
      </c>
      <c r="F20" s="32">
        <f t="shared" ref="F20:F31" si="4">($D$19*E20)/K20</f>
        <v>9.1001298060816644</v>
      </c>
      <c r="H20" s="19"/>
      <c r="I20" s="19"/>
      <c r="J20" s="19"/>
      <c r="K20" s="30">
        <v>178.22</v>
      </c>
      <c r="L20" s="30">
        <f t="shared" ref="L20:L31" si="5">F20*K20</f>
        <v>1621.8251340398742</v>
      </c>
      <c r="M20" s="30">
        <v>180.97</v>
      </c>
      <c r="N20" s="30">
        <f t="shared" ref="N20:N31" si="6">F20*M20</f>
        <v>1646.8504910065988</v>
      </c>
    </row>
    <row r="21" spans="1:14" x14ac:dyDescent="0.3">
      <c r="A21" s="1">
        <v>2</v>
      </c>
      <c r="B21" s="1" t="str">
        <f>VLOOKUP(C21,Universe!$C$2:$E$201,3,FALSE)</f>
        <v>Consumer Staples</v>
      </c>
      <c r="C21" s="1" t="s">
        <v>46</v>
      </c>
      <c r="D21" s="1" t="str">
        <f>VLOOKUP(C21,Universe!$C$2:$D$201,2,FALSE)</f>
        <v>Costco Wholesale Corp</v>
      </c>
      <c r="E21" s="21">
        <v>0.15</v>
      </c>
      <c r="F21" s="32">
        <f t="shared" si="4"/>
        <v>2.1848353572494972</v>
      </c>
      <c r="H21" s="19"/>
      <c r="I21" s="19"/>
      <c r="J21" s="19"/>
      <c r="K21" s="30">
        <v>742.31</v>
      </c>
      <c r="L21" s="30">
        <f t="shared" si="5"/>
        <v>1621.8251340398742</v>
      </c>
      <c r="M21" s="30">
        <v>714.38</v>
      </c>
      <c r="N21" s="30">
        <f t="shared" si="6"/>
        <v>1560.8026825118957</v>
      </c>
    </row>
    <row r="22" spans="1:14" x14ac:dyDescent="0.3">
      <c r="A22" s="1">
        <v>3</v>
      </c>
      <c r="B22" s="1" t="str">
        <f>VLOOKUP(C22,Universe!$C$2:$E$201,3,FALSE)</f>
        <v>Information Technology</v>
      </c>
      <c r="C22" s="1" t="s">
        <v>101</v>
      </c>
      <c r="D22" s="1" t="str">
        <f>VLOOKUP(C22,Universe!$C$2:$D$201,2,FALSE)</f>
        <v>Intel Corp.</v>
      </c>
      <c r="E22" s="21">
        <v>0.15</v>
      </c>
      <c r="F22" s="32">
        <f t="shared" si="4"/>
        <v>37.395091861652624</v>
      </c>
      <c r="H22" s="19"/>
      <c r="I22" s="19"/>
      <c r="J22" s="19"/>
      <c r="K22" s="30">
        <v>43.37</v>
      </c>
      <c r="L22" s="30">
        <f t="shared" si="5"/>
        <v>1621.8251340398742</v>
      </c>
      <c r="M22" s="30">
        <v>44.06</v>
      </c>
      <c r="N22" s="30">
        <f t="shared" si="6"/>
        <v>1647.6277474244148</v>
      </c>
    </row>
    <row r="23" spans="1:14" x14ac:dyDescent="0.3">
      <c r="A23" s="1">
        <v>4</v>
      </c>
      <c r="B23" s="1" t="str">
        <f>VLOOKUP(C23,Universe!$C$2:$E$201,3,FALSE)</f>
        <v>Health Care</v>
      </c>
      <c r="C23" s="1" t="s">
        <v>145</v>
      </c>
      <c r="D23" s="1" t="str">
        <f>VLOOKUP(C23,Universe!$C$2:$D$201,2,FALSE)</f>
        <v>Vertex Pharma</v>
      </c>
      <c r="E23" s="21">
        <v>0.15</v>
      </c>
      <c r="F23" s="32">
        <f t="shared" si="4"/>
        <v>3.7476317913852348</v>
      </c>
      <c r="H23" s="19"/>
      <c r="I23" s="19"/>
      <c r="J23" s="19"/>
      <c r="K23" s="30">
        <v>432.76</v>
      </c>
      <c r="L23" s="30">
        <f t="shared" si="5"/>
        <v>1621.8251340398742</v>
      </c>
      <c r="M23" s="30">
        <v>420.48</v>
      </c>
      <c r="N23" s="30">
        <f t="shared" si="6"/>
        <v>1575.8042156416636</v>
      </c>
    </row>
    <row r="24" spans="1:14" x14ac:dyDescent="0.3">
      <c r="A24" s="1">
        <v>5</v>
      </c>
      <c r="B24" s="1" t="str">
        <f>VLOOKUP(C24,Universe!$C$2:$E$201,3,FALSE)</f>
        <v>Financials</v>
      </c>
      <c r="C24" s="1" t="s">
        <v>127</v>
      </c>
      <c r="D24" s="1" t="str">
        <f>VLOOKUP(C24,Universe!$C$2:$D$201,2,FALSE)</f>
        <v>Progressive Corp</v>
      </c>
      <c r="E24" s="21">
        <v>0.15</v>
      </c>
      <c r="F24" s="32">
        <f t="shared" si="4"/>
        <v>8.8228981288209898</v>
      </c>
      <c r="H24" s="19"/>
      <c r="I24" s="19"/>
      <c r="J24" s="19"/>
      <c r="K24" s="30">
        <v>183.82</v>
      </c>
      <c r="L24" s="30">
        <f t="shared" si="5"/>
        <v>1621.8251340398742</v>
      </c>
      <c r="M24" s="30">
        <v>205.47</v>
      </c>
      <c r="N24" s="30">
        <f t="shared" si="6"/>
        <v>1812.8408785288489</v>
      </c>
    </row>
    <row r="25" spans="1:14" x14ac:dyDescent="0.3">
      <c r="A25" s="1">
        <v>6</v>
      </c>
      <c r="B25" s="1" t="str">
        <f>VLOOKUP(C25,Universe!$C$2:$E$201,3,FALSE)</f>
        <v>Industrials</v>
      </c>
      <c r="C25" s="1" t="s">
        <v>51</v>
      </c>
      <c r="D25" s="1" t="str">
        <f>VLOOKUP(C25,Universe!$C$2:$D$201,2,FALSE)</f>
        <v>GE Aerospace</v>
      </c>
      <c r="E25" s="21">
        <v>6.5699999999999995E-2</v>
      </c>
      <c r="F25" s="32">
        <f t="shared" si="4"/>
        <v>5.6728909815481945</v>
      </c>
      <c r="H25" s="19"/>
      <c r="I25" s="19"/>
      <c r="J25" s="19"/>
      <c r="K25" s="30">
        <v>125.22</v>
      </c>
      <c r="L25" s="30">
        <f t="shared" si="5"/>
        <v>710.3594087094649</v>
      </c>
      <c r="M25" s="30">
        <v>138.41</v>
      </c>
      <c r="N25" s="30">
        <f t="shared" si="6"/>
        <v>785.18484075608558</v>
      </c>
    </row>
    <row r="26" spans="1:14" x14ac:dyDescent="0.3">
      <c r="A26" s="1">
        <v>7</v>
      </c>
      <c r="B26" s="1" t="str">
        <f>VLOOKUP(C26,Universe!$C$2:$E$201,3,FALSE)</f>
        <v>Information Technology</v>
      </c>
      <c r="C26" s="1" t="s">
        <v>16</v>
      </c>
      <c r="D26" s="1" t="str">
        <f>VLOOKUP(C26,Universe!$C$2:$D$201,2,FALSE)</f>
        <v>Meta Platforms Inc.</v>
      </c>
      <c r="E26" s="21">
        <v>4.9299999999999997E-2</v>
      </c>
      <c r="F26" s="32">
        <f t="shared" si="4"/>
        <v>1.0674888066670112</v>
      </c>
      <c r="H26" s="19"/>
      <c r="I26" s="19"/>
      <c r="J26" s="19"/>
      <c r="K26" s="30">
        <v>499.34</v>
      </c>
      <c r="L26" s="30">
        <f t="shared" si="5"/>
        <v>533.03986072110536</v>
      </c>
      <c r="M26" s="30">
        <v>488.46</v>
      </c>
      <c r="N26" s="30">
        <f t="shared" si="6"/>
        <v>521.4255825045683</v>
      </c>
    </row>
    <row r="27" spans="1:14" x14ac:dyDescent="0.3">
      <c r="A27" s="1">
        <v>8</v>
      </c>
      <c r="B27" s="1" t="str">
        <f>VLOOKUP(C27,Universe!$C$2:$E$201,3,FALSE)</f>
        <v>Health Care</v>
      </c>
      <c r="C27" s="1" t="s">
        <v>24</v>
      </c>
      <c r="D27" s="1" t="str">
        <f>VLOOKUP(C27,Universe!$C$2:$D$201,2,FALSE)</f>
        <v>Eli Lilly and Company</v>
      </c>
      <c r="E27" s="21">
        <v>4.7899999999999998E-2</v>
      </c>
      <c r="F27" s="32">
        <f t="shared" si="4"/>
        <v>0.67029421618680285</v>
      </c>
      <c r="H27" s="19"/>
      <c r="I27" s="19"/>
      <c r="J27" s="19"/>
      <c r="K27" s="30">
        <v>772.65</v>
      </c>
      <c r="L27" s="30">
        <f t="shared" si="5"/>
        <v>517.90282613673321</v>
      </c>
      <c r="M27" s="30">
        <v>751.34</v>
      </c>
      <c r="N27" s="30">
        <f t="shared" si="6"/>
        <v>503.61885638979248</v>
      </c>
    </row>
    <row r="28" spans="1:14" x14ac:dyDescent="0.3">
      <c r="A28" s="1">
        <v>9</v>
      </c>
      <c r="B28" s="1" t="str">
        <f>VLOOKUP(C28,Universe!$C$2:$E$201,3,FALSE)</f>
        <v>Information Technology</v>
      </c>
      <c r="C28" s="1" t="s">
        <v>70</v>
      </c>
      <c r="D28" s="1" t="str">
        <f>VLOOKUP(C28,Universe!$C$2:$D$201,2,FALSE)</f>
        <v>Salesforce Inc.</v>
      </c>
      <c r="E28" s="21">
        <v>3.0300000000000001E-2</v>
      </c>
      <c r="F28" s="32">
        <f t="shared" si="4"/>
        <v>1.044737155035572</v>
      </c>
      <c r="H28" s="19"/>
      <c r="I28" s="19"/>
      <c r="J28" s="19"/>
      <c r="K28" s="30">
        <v>313.58</v>
      </c>
      <c r="L28" s="30">
        <f t="shared" si="5"/>
        <v>327.60867707605462</v>
      </c>
      <c r="M28" s="30">
        <v>299.5</v>
      </c>
      <c r="N28" s="30">
        <f t="shared" si="6"/>
        <v>312.89877793315378</v>
      </c>
    </row>
    <row r="29" spans="1:14" x14ac:dyDescent="0.3">
      <c r="A29" s="1">
        <v>10</v>
      </c>
      <c r="B29" s="1" t="str">
        <f>VLOOKUP(C29,Universe!$C$2:$E$201,3,FALSE)</f>
        <v>Consumer Discretionary</v>
      </c>
      <c r="C29" s="1" t="s">
        <v>41</v>
      </c>
      <c r="D29" s="1" t="str">
        <f>VLOOKUP(C29,Universe!$C$2:$D$201,2,FALSE)</f>
        <v>Netflix Inc.</v>
      </c>
      <c r="E29" s="21">
        <v>2.76E-2</v>
      </c>
      <c r="F29" s="32">
        <f t="shared" si="4"/>
        <v>4.8185988158136102</v>
      </c>
      <c r="H29" s="19"/>
      <c r="I29" s="19"/>
      <c r="J29" s="19"/>
      <c r="K29" s="30">
        <v>61.93</v>
      </c>
      <c r="L29" s="30">
        <f t="shared" si="5"/>
        <v>298.41582466333688</v>
      </c>
      <c r="M29" s="30">
        <v>61.43</v>
      </c>
      <c r="N29" s="30">
        <f t="shared" si="6"/>
        <v>296.00652525543006</v>
      </c>
    </row>
    <row r="30" spans="1:14" x14ac:dyDescent="0.3">
      <c r="A30" s="1">
        <v>11</v>
      </c>
      <c r="B30" s="1" t="str">
        <f>VLOOKUP(C30,Universe!$C$2:$E$201,3,FALSE)</f>
        <v>Information Technology</v>
      </c>
      <c r="C30" s="1" t="s">
        <v>108</v>
      </c>
      <c r="D30" s="1" t="str">
        <f>VLOOKUP(C30,Universe!$C$2:$D$201,2,FALSE)</f>
        <v>Uber Technologies</v>
      </c>
      <c r="E30" s="21">
        <v>1.9800000000000002E-2</v>
      </c>
      <c r="F30" s="32">
        <f t="shared" si="4"/>
        <v>2.6419957755555155</v>
      </c>
      <c r="K30" s="30">
        <v>81.03</v>
      </c>
      <c r="L30" s="30">
        <f t="shared" si="5"/>
        <v>214.08091769326342</v>
      </c>
      <c r="M30" s="30">
        <v>76.400000000000006</v>
      </c>
      <c r="N30" s="30">
        <f t="shared" si="6"/>
        <v>201.8484772524414</v>
      </c>
    </row>
    <row r="31" spans="1:14" x14ac:dyDescent="0.3">
      <c r="A31" s="1">
        <v>12</v>
      </c>
      <c r="B31" s="1" t="str">
        <f>VLOOKUP(C31,Universe!$C$2:$E$201,3,FALSE)</f>
        <v>Industrials</v>
      </c>
      <c r="C31" s="1" t="s">
        <v>139</v>
      </c>
      <c r="D31" s="1" t="str">
        <f>VLOOKUP(C31,Universe!$C$2:$D$201,2,FALSE)</f>
        <v>Eaton Corp</v>
      </c>
      <c r="E31" s="21">
        <v>9.1999999999999998E-3</v>
      </c>
      <c r="F31" s="32">
        <f t="shared" si="4"/>
        <v>0.34632665397411605</v>
      </c>
      <c r="K31" s="30">
        <v>287.22000000000003</v>
      </c>
      <c r="L31" s="30">
        <f t="shared" si="5"/>
        <v>99.471941554445621</v>
      </c>
      <c r="M31" s="30">
        <v>306.10000000000002</v>
      </c>
      <c r="N31" s="30">
        <f t="shared" si="6"/>
        <v>106.01058878147693</v>
      </c>
    </row>
    <row r="32" spans="1:14" x14ac:dyDescent="0.3">
      <c r="K32" s="30"/>
      <c r="L32" s="30">
        <f>SUM(L20:L31)</f>
        <v>10810.005126753773</v>
      </c>
      <c r="M32" s="30"/>
      <c r="N32" s="30">
        <f>SUM(N20:N31)</f>
        <v>10970.919663986368</v>
      </c>
    </row>
    <row r="33" spans="1:16" x14ac:dyDescent="0.3">
      <c r="L33" s="21"/>
      <c r="N33" s="21">
        <f>(N32-L32)/L32</f>
        <v>1.4885704062650811E-2</v>
      </c>
    </row>
    <row r="35" spans="1:16" x14ac:dyDescent="0.3">
      <c r="A35" s="26" t="s">
        <v>439</v>
      </c>
      <c r="D35" s="35">
        <f>N32</f>
        <v>10970.919663986368</v>
      </c>
    </row>
    <row r="36" spans="1:16" x14ac:dyDescent="0.3">
      <c r="A36" s="1">
        <v>1</v>
      </c>
      <c r="B36" s="1" t="str">
        <f>VLOOKUP(C36,Universe!$C$2:$E$201,3,FALSE)</f>
        <v>Financials</v>
      </c>
      <c r="C36" s="1" t="s">
        <v>366</v>
      </c>
      <c r="D36" s="1" t="str">
        <f>VLOOKUP(C36,Universe!$C$2:$D$201,2,FALSE)</f>
        <v>AIG</v>
      </c>
      <c r="E36" s="21">
        <v>0.15</v>
      </c>
      <c r="F36" s="32">
        <f>($D$19*E36)/M36</f>
        <v>21.687953116339585</v>
      </c>
      <c r="M36" s="30">
        <v>74.78</v>
      </c>
      <c r="N36" s="19">
        <f>F36*M36</f>
        <v>1621.8251340398742</v>
      </c>
      <c r="O36" s="22">
        <v>73.010000000000005</v>
      </c>
      <c r="P36" s="19">
        <f>F36*O36</f>
        <v>1583.4374570239531</v>
      </c>
    </row>
    <row r="37" spans="1:16" x14ac:dyDescent="0.3">
      <c r="A37" s="1">
        <v>2</v>
      </c>
      <c r="B37" s="1" t="str">
        <f>VLOOKUP(C37,Universe!$C$2:$E$201,3,FALSE)</f>
        <v>Health Care</v>
      </c>
      <c r="C37" s="1" t="s">
        <v>246</v>
      </c>
      <c r="D37" s="1" t="str">
        <f>VLOOKUP(C37,Universe!$C$2:$D$201,2,FALSE)</f>
        <v>The Cigna Group</v>
      </c>
      <c r="E37" s="21">
        <v>0.15</v>
      </c>
      <c r="F37" s="32">
        <f t="shared" ref="F37:F44" si="7">($D$19*E37)/M37</f>
        <v>4.6017056351148398</v>
      </c>
      <c r="M37" s="30">
        <v>352.44</v>
      </c>
      <c r="N37" s="19">
        <f t="shared" ref="N37:N44" si="8">F37*M37</f>
        <v>1621.8251340398742</v>
      </c>
      <c r="O37" s="22">
        <v>345.76</v>
      </c>
      <c r="P37" s="19">
        <f t="shared" ref="P37:P44" si="9">F37*O37</f>
        <v>1591.0857403973071</v>
      </c>
    </row>
    <row r="38" spans="1:16" x14ac:dyDescent="0.3">
      <c r="A38" s="1">
        <v>3</v>
      </c>
      <c r="B38" s="1" t="str">
        <f>VLOOKUP(C38,Universe!$C$2:$E$201,3,FALSE)</f>
        <v>Financials</v>
      </c>
      <c r="C38" s="1" t="s">
        <v>127</v>
      </c>
      <c r="D38" s="1" t="str">
        <f>VLOOKUP(C38,Universe!$C$2:$D$201,2,FALSE)</f>
        <v>Progressive Corp</v>
      </c>
      <c r="E38" s="21">
        <v>0.15</v>
      </c>
      <c r="F38" s="32">
        <f t="shared" si="7"/>
        <v>7.8932454082828354</v>
      </c>
      <c r="M38" s="30">
        <v>205.47</v>
      </c>
      <c r="N38" s="19">
        <f t="shared" si="8"/>
        <v>1621.8251340398742</v>
      </c>
      <c r="O38" s="22">
        <v>207.38</v>
      </c>
      <c r="P38" s="19">
        <f t="shared" si="9"/>
        <v>1636.9012327696944</v>
      </c>
    </row>
    <row r="39" spans="1:16" x14ac:dyDescent="0.3">
      <c r="A39" s="1">
        <v>4</v>
      </c>
      <c r="B39" s="1" t="str">
        <f>VLOOKUP(C39,Universe!$C$2:$E$201,3,FALSE)</f>
        <v>Consumer Discretionary</v>
      </c>
      <c r="C39" s="1" t="s">
        <v>41</v>
      </c>
      <c r="D39" s="1" t="str">
        <f>VLOOKUP(C39,Universe!$C$2:$D$201,2,FALSE)</f>
        <v>Netflix Inc.</v>
      </c>
      <c r="E39" s="21">
        <v>0.15</v>
      </c>
      <c r="F39" s="32">
        <f t="shared" si="7"/>
        <v>26.401190526450826</v>
      </c>
      <c r="M39" s="30">
        <v>61.43</v>
      </c>
      <c r="N39" s="19">
        <f t="shared" si="8"/>
        <v>1621.8251340398742</v>
      </c>
      <c r="O39" s="22">
        <v>55.17</v>
      </c>
      <c r="P39" s="19">
        <f t="shared" si="9"/>
        <v>1456.553681344292</v>
      </c>
    </row>
    <row r="40" spans="1:16" x14ac:dyDescent="0.3">
      <c r="A40" s="1">
        <v>5</v>
      </c>
      <c r="B40" s="1" t="str">
        <f>VLOOKUP(C40,Universe!$C$2:$E$201,3,FALSE)</f>
        <v>Information Technology</v>
      </c>
      <c r="C40" s="1" t="s">
        <v>60</v>
      </c>
      <c r="D40" s="1" t="str">
        <f>VLOOKUP(C40,Universe!$C$2:$D$201,2,FALSE)</f>
        <v>IBM Corporation</v>
      </c>
      <c r="E40" s="21">
        <v>0.15</v>
      </c>
      <c r="F40" s="32">
        <f t="shared" si="7"/>
        <v>8.9991406838301753</v>
      </c>
      <c r="M40" s="30">
        <v>180.22</v>
      </c>
      <c r="N40" s="19">
        <f t="shared" si="8"/>
        <v>1621.8251340398742</v>
      </c>
      <c r="O40" s="22">
        <v>156.11000000000001</v>
      </c>
      <c r="P40" s="19">
        <f t="shared" si="9"/>
        <v>1404.8558521527289</v>
      </c>
    </row>
    <row r="41" spans="1:16" x14ac:dyDescent="0.3">
      <c r="A41" s="1">
        <v>6</v>
      </c>
      <c r="B41" s="1" t="str">
        <f>VLOOKUP(C41,Universe!$C$2:$E$201,3,FALSE)</f>
        <v>Consumer Discretionary</v>
      </c>
      <c r="C41" s="1" t="s">
        <v>15</v>
      </c>
      <c r="D41" s="1" t="str">
        <f>VLOOKUP(C41,Universe!$C$2:$D$201,2,FALSE)</f>
        <v>Amazon.com Inc.</v>
      </c>
      <c r="E41" s="21">
        <v>0.15</v>
      </c>
      <c r="F41" s="32">
        <f t="shared" si="7"/>
        <v>8.9618452452885791</v>
      </c>
      <c r="M41" s="30">
        <v>180.97</v>
      </c>
      <c r="N41" s="19">
        <f t="shared" si="8"/>
        <v>1621.8251340398742</v>
      </c>
      <c r="O41" s="22">
        <v>179</v>
      </c>
      <c r="P41" s="19">
        <f t="shared" si="9"/>
        <v>1604.1702989066557</v>
      </c>
    </row>
    <row r="42" spans="1:16" x14ac:dyDescent="0.3">
      <c r="A42" s="1">
        <v>7</v>
      </c>
      <c r="B42" s="1" t="str">
        <f>VLOOKUP(C42,Universe!$C$2:$E$201,3,FALSE)</f>
        <v>Information Technology</v>
      </c>
      <c r="C42" s="1" t="s">
        <v>16</v>
      </c>
      <c r="D42" s="1" t="str">
        <f>VLOOKUP(C42,Universe!$C$2:$D$201,2,FALSE)</f>
        <v>Meta Platforms Inc.</v>
      </c>
      <c r="E42" s="21">
        <v>5.1400000000000001E-2</v>
      </c>
      <c r="F42" s="32">
        <f t="shared" si="7"/>
        <v>1.1377500974443426</v>
      </c>
      <c r="M42" s="30">
        <v>488.46</v>
      </c>
      <c r="N42" s="19">
        <f t="shared" si="8"/>
        <v>555.74541259766363</v>
      </c>
      <c r="O42" s="22">
        <v>436.61</v>
      </c>
      <c r="P42" s="19">
        <f t="shared" si="9"/>
        <v>496.75307004517447</v>
      </c>
    </row>
    <row r="43" spans="1:16" x14ac:dyDescent="0.3">
      <c r="A43" s="1">
        <v>8</v>
      </c>
      <c r="B43" s="1" t="str">
        <f>VLOOKUP(C43,Universe!$C$2:$E$201,3,FALSE)</f>
        <v>Information Technology</v>
      </c>
      <c r="C43" s="1" t="s">
        <v>108</v>
      </c>
      <c r="D43" s="1" t="str">
        <f>VLOOKUP(C43,Universe!$C$2:$D$201,2,FALSE)</f>
        <v>Uber Technologies</v>
      </c>
      <c r="E43" s="21">
        <v>2.93E-2</v>
      </c>
      <c r="F43" s="32">
        <f t="shared" si="7"/>
        <v>4.1465511716726278</v>
      </c>
      <c r="M43" s="30">
        <v>76.400000000000006</v>
      </c>
      <c r="N43" s="19">
        <f t="shared" si="8"/>
        <v>316.79650951578878</v>
      </c>
      <c r="O43" s="22">
        <v>67.790000000000006</v>
      </c>
      <c r="P43" s="19">
        <f t="shared" si="9"/>
        <v>281.09470392768748</v>
      </c>
    </row>
    <row r="44" spans="1:16" x14ac:dyDescent="0.3">
      <c r="A44" s="1">
        <v>9</v>
      </c>
      <c r="B44" s="1" t="str">
        <f>VLOOKUP(C44,Universe!$C$2:$E$201,3,FALSE)</f>
        <v>Consumer Staples</v>
      </c>
      <c r="C44" s="1" t="s">
        <v>46</v>
      </c>
      <c r="D44" s="1" t="str">
        <f>VLOOKUP(C44,Universe!$C$2:$D$201,2,FALSE)</f>
        <v>Costco Wholesale Corp</v>
      </c>
      <c r="E44" s="21">
        <v>1.9300000000000001E-2</v>
      </c>
      <c r="F44" s="32">
        <f t="shared" si="7"/>
        <v>0.29210620945873417</v>
      </c>
      <c r="M44" s="30">
        <v>714.38</v>
      </c>
      <c r="N44" s="19">
        <f t="shared" si="8"/>
        <v>208.67483391313053</v>
      </c>
      <c r="O44" s="22">
        <v>716.5</v>
      </c>
      <c r="P44" s="19">
        <f t="shared" si="9"/>
        <v>209.29409907718303</v>
      </c>
    </row>
    <row r="45" spans="1:16" x14ac:dyDescent="0.3">
      <c r="N45" s="19">
        <f>SUM(N36:N44)</f>
        <v>10812.167560265829</v>
      </c>
      <c r="P45" s="19">
        <f>SUM(P36:P44)</f>
        <v>10264.146135644676</v>
      </c>
    </row>
    <row r="46" spans="1:16" x14ac:dyDescent="0.3">
      <c r="P46" s="21">
        <f>(P45-N45)/N45</f>
        <v>-5.0685620766284065E-2</v>
      </c>
    </row>
    <row r="48" spans="1:16" x14ac:dyDescent="0.3">
      <c r="A48" s="26" t="s">
        <v>440</v>
      </c>
      <c r="D48" s="28">
        <f>P45</f>
        <v>10264.146135644676</v>
      </c>
    </row>
    <row r="49" spans="1:22" x14ac:dyDescent="0.3">
      <c r="A49" s="1">
        <v>1</v>
      </c>
      <c r="B49" s="1" t="str">
        <f>VLOOKUP(C49,Universe!$C$2:$E$201,3,FALSE)</f>
        <v>Consumer Discretionary</v>
      </c>
      <c r="C49" s="1" t="s">
        <v>15</v>
      </c>
      <c r="D49" s="1" t="str">
        <f>VLOOKUP(C49,Universe!$C$2:$D$201,2,FALSE)</f>
        <v>Amazon.com Inc.</v>
      </c>
      <c r="E49" s="21">
        <v>0.15</v>
      </c>
      <c r="F49" s="16">
        <f>$D$48*E49/O49</f>
        <v>8.6012397784731931</v>
      </c>
      <c r="O49" s="22">
        <v>179</v>
      </c>
      <c r="P49" s="19">
        <f>F49*O49</f>
        <v>1539.6219203467015</v>
      </c>
      <c r="Q49">
        <v>176.44</v>
      </c>
      <c r="R49" s="22">
        <f t="shared" ref="R49:R55" si="10">F49*Q49</f>
        <v>1517.6027465138102</v>
      </c>
      <c r="S49">
        <v>197.2</v>
      </c>
      <c r="T49" s="22">
        <f>F49*S49</f>
        <v>1696.1644843149136</v>
      </c>
    </row>
    <row r="50" spans="1:22" x14ac:dyDescent="0.3">
      <c r="A50" s="1">
        <v>2</v>
      </c>
      <c r="B50" s="1" t="str">
        <f>VLOOKUP(C50,Universe!$C$2:$E$201,3,FALSE)</f>
        <v>Health Care</v>
      </c>
      <c r="C50" s="1" t="s">
        <v>246</v>
      </c>
      <c r="D50" s="1" t="str">
        <f>VLOOKUP(C50,Universe!$C$2:$D$201,2,FALSE)</f>
        <v>The Cigna Group</v>
      </c>
      <c r="E50" s="21">
        <v>0.15</v>
      </c>
      <c r="F50" s="16">
        <f t="shared" ref="F50:F55" si="11">$D$48*E50/O50</f>
        <v>4.4528630273794008</v>
      </c>
      <c r="O50" s="22">
        <v>345.76</v>
      </c>
      <c r="P50" s="19">
        <f t="shared" ref="P50:P54" si="12">F50*O50</f>
        <v>1539.6219203467015</v>
      </c>
      <c r="Q50">
        <v>333.61</v>
      </c>
      <c r="R50" s="22">
        <f t="shared" si="10"/>
        <v>1485.519634564042</v>
      </c>
      <c r="S50">
        <v>317.14</v>
      </c>
      <c r="T50" s="22">
        <f t="shared" ref="T50:T55" si="13">F50*S50</f>
        <v>1412.180980503103</v>
      </c>
    </row>
    <row r="51" spans="1:22" x14ac:dyDescent="0.3">
      <c r="A51" s="1">
        <v>3</v>
      </c>
      <c r="B51" s="1" t="str">
        <f>VLOOKUP(C51,Universe!$C$2:$E$201,3,FALSE)</f>
        <v>Information Technology</v>
      </c>
      <c r="C51" s="1" t="s">
        <v>328</v>
      </c>
      <c r="D51" s="1" t="str">
        <f>VLOOKUP(C51,Universe!$C$2:$D$201,2,FALSE)</f>
        <v>NetApp Inc.</v>
      </c>
      <c r="E51" s="21">
        <v>0.15</v>
      </c>
      <c r="F51" s="16">
        <f t="shared" si="11"/>
        <v>15.683222169162692</v>
      </c>
      <c r="O51" s="22">
        <v>98.17</v>
      </c>
      <c r="P51" s="19">
        <f t="shared" si="12"/>
        <v>1539.6219203467015</v>
      </c>
      <c r="Q51">
        <v>117.07</v>
      </c>
      <c r="R51" s="22">
        <f t="shared" si="10"/>
        <v>1836.0348193438763</v>
      </c>
      <c r="S51">
        <v>126.6</v>
      </c>
      <c r="T51" s="22">
        <f t="shared" si="13"/>
        <v>1985.4959266159967</v>
      </c>
    </row>
    <row r="52" spans="1:22" x14ac:dyDescent="0.3">
      <c r="A52" s="1">
        <v>4</v>
      </c>
      <c r="B52" s="1" t="str">
        <f>VLOOKUP(C52,Universe!$C$2:$E$201,3,FALSE)</f>
        <v>Consumer Discretionary</v>
      </c>
      <c r="C52" s="1" t="s">
        <v>41</v>
      </c>
      <c r="D52" s="1" t="str">
        <f>VLOOKUP(C52,Universe!$C$2:$D$201,2,FALSE)</f>
        <v>Netflix Inc.</v>
      </c>
      <c r="E52" s="21">
        <v>0.15</v>
      </c>
      <c r="F52" s="16">
        <f t="shared" si="11"/>
        <v>27.906868231769103</v>
      </c>
      <c r="O52" s="22">
        <v>55.17</v>
      </c>
      <c r="P52" s="19">
        <f t="shared" si="12"/>
        <v>1539.6219203467015</v>
      </c>
      <c r="Q52">
        <v>64.16</v>
      </c>
      <c r="R52" s="22">
        <f t="shared" si="10"/>
        <v>1790.5046657503055</v>
      </c>
      <c r="S52">
        <v>67.36</v>
      </c>
      <c r="T52" s="22">
        <f t="shared" si="13"/>
        <v>1879.8066440919667</v>
      </c>
    </row>
    <row r="53" spans="1:22" x14ac:dyDescent="0.3">
      <c r="A53" s="1">
        <v>5</v>
      </c>
      <c r="B53" s="1" t="str">
        <f>VLOOKUP(C53,Universe!$C$2:$E$201,3,FALSE)</f>
        <v>Financials</v>
      </c>
      <c r="C53" s="1" t="s">
        <v>127</v>
      </c>
      <c r="D53" s="1" t="str">
        <f>VLOOKUP(C53,Universe!$C$2:$D$201,2,FALSE)</f>
        <v>Progressive Corp</v>
      </c>
      <c r="E53" s="21">
        <v>0.15</v>
      </c>
      <c r="F53" s="16">
        <f t="shared" si="11"/>
        <v>7.4241581654291711</v>
      </c>
      <c r="O53" s="22">
        <v>207.38</v>
      </c>
      <c r="P53" s="19">
        <f t="shared" si="12"/>
        <v>1539.6219203467015</v>
      </c>
      <c r="Q53">
        <v>206.77</v>
      </c>
      <c r="R53" s="22">
        <f t="shared" si="10"/>
        <v>1535.0931838657898</v>
      </c>
      <c r="S53">
        <v>205.09</v>
      </c>
      <c r="T53" s="22">
        <f t="shared" si="13"/>
        <v>1522.6205981478688</v>
      </c>
    </row>
    <row r="54" spans="1:22" x14ac:dyDescent="0.3">
      <c r="A54" s="1">
        <v>6</v>
      </c>
      <c r="B54" s="1" t="str">
        <f>VLOOKUP(C54,Universe!$C$2:$E$201,3,FALSE)</f>
        <v>Information Technology</v>
      </c>
      <c r="C54" s="1" t="s">
        <v>113</v>
      </c>
      <c r="D54" s="1" t="str">
        <f>VLOOKUP(C54,Universe!$C$2:$D$201,2,FALSE)</f>
        <v>Amphenol Corp</v>
      </c>
      <c r="E54" s="21">
        <v>0.12820000000000001</v>
      </c>
      <c r="F54" s="16">
        <f t="shared" si="11"/>
        <v>22.378631540640267</v>
      </c>
      <c r="O54" s="22">
        <v>58.8</v>
      </c>
      <c r="P54" s="19">
        <f t="shared" si="12"/>
        <v>1315.8635345896475</v>
      </c>
      <c r="Q54">
        <v>65.260000000000005</v>
      </c>
      <c r="R54" s="22">
        <f t="shared" si="10"/>
        <v>1460.4294943421839</v>
      </c>
      <c r="S54">
        <v>66.680000000000007</v>
      </c>
      <c r="T54" s="22">
        <f t="shared" si="13"/>
        <v>1492.2071511298932</v>
      </c>
    </row>
    <row r="55" spans="1:22" x14ac:dyDescent="0.3">
      <c r="A55" s="1">
        <v>7</v>
      </c>
      <c r="B55" s="1" t="str">
        <f>VLOOKUP(C55,Universe!$C$2:$E$201,3,FALSE)</f>
        <v>Consumer Discretionary</v>
      </c>
      <c r="C55" s="1" t="s">
        <v>407</v>
      </c>
      <c r="D55" s="1" t="str">
        <f>VLOOKUP(C55,Universe!$C$2:$D$201,2,FALSE)</f>
        <v>Royal Caribbean</v>
      </c>
      <c r="E55" s="21">
        <v>0.12180000000000001</v>
      </c>
      <c r="F55" s="16">
        <f t="shared" si="11"/>
        <v>9.2188850329733896</v>
      </c>
      <c r="O55" s="22">
        <v>135.61000000000001</v>
      </c>
      <c r="P55" s="19">
        <f t="shared" ref="P55" si="14">F55*O55</f>
        <v>1250.1729993215215</v>
      </c>
      <c r="Q55">
        <v>145.62</v>
      </c>
      <c r="R55" s="22">
        <f t="shared" si="10"/>
        <v>1342.454038501585</v>
      </c>
      <c r="S55">
        <v>154.29</v>
      </c>
      <c r="T55" s="22">
        <f t="shared" si="13"/>
        <v>1422.3817717374643</v>
      </c>
    </row>
    <row r="56" spans="1:22" x14ac:dyDescent="0.3">
      <c r="P56" s="19">
        <f>SUM(P49:P55)</f>
        <v>10264.146135644676</v>
      </c>
      <c r="R56" s="19">
        <f>SUM(R49:R55)</f>
        <v>10967.638582881593</v>
      </c>
      <c r="T56" s="22">
        <f>SUM(T49:T55)</f>
        <v>11410.857556541205</v>
      </c>
    </row>
    <row r="57" spans="1:22" x14ac:dyDescent="0.3">
      <c r="R57" s="21">
        <f>(R56-P56)/P56</f>
        <v>6.8538818323510872E-2</v>
      </c>
      <c r="T57" s="21">
        <f>(T56-R56)/R56</f>
        <v>4.0411522526954236E-2</v>
      </c>
    </row>
    <row r="59" spans="1:22" x14ac:dyDescent="0.3">
      <c r="A59" s="26" t="s">
        <v>441</v>
      </c>
      <c r="D59" s="28">
        <f>T56</f>
        <v>11410.857556541205</v>
      </c>
    </row>
    <row r="60" spans="1:22" x14ac:dyDescent="0.3">
      <c r="A60" s="1">
        <v>1</v>
      </c>
      <c r="B60" s="1" t="str">
        <f>VLOOKUP(C60,Universe!$C$2:$E$201,3,FALSE)</f>
        <v>Consumer Discretionary</v>
      </c>
      <c r="C60" s="1" t="s">
        <v>15</v>
      </c>
      <c r="D60" s="1" t="str">
        <f>VLOOKUP(C60,Universe!$C$2:$D$201,2,FALSE)</f>
        <v>Amazon.com Inc.</v>
      </c>
      <c r="E60" s="21">
        <v>0.15</v>
      </c>
      <c r="F60" s="16">
        <f>$D$59*E60/S60</f>
        <v>8.6796583847930062</v>
      </c>
      <c r="S60" s="18">
        <v>197.2</v>
      </c>
      <c r="T60" s="36">
        <f>F60*S60</f>
        <v>1711.6286334811807</v>
      </c>
      <c r="U60" s="22">
        <v>184.07</v>
      </c>
      <c r="V60" s="30">
        <f>F60*U60</f>
        <v>1597.6647188888485</v>
      </c>
    </row>
    <row r="61" spans="1:22" x14ac:dyDescent="0.3">
      <c r="A61" s="1">
        <v>2</v>
      </c>
      <c r="B61" s="1" t="str">
        <f>VLOOKUP(C61,Universe!$C$2:$E$201,3,FALSE)</f>
        <v>Consumer Discretionary</v>
      </c>
      <c r="C61" s="1" t="s">
        <v>41</v>
      </c>
      <c r="D61" s="1" t="str">
        <f>VLOOKUP(C61,Universe!$C$2:$D$201,2,FALSE)</f>
        <v>Netflix Inc.</v>
      </c>
      <c r="E61" s="21">
        <v>0.15</v>
      </c>
      <c r="F61" s="16">
        <f t="shared" ref="F61:F67" si="15">$D$59*E61/S61</f>
        <v>25.410163798711114</v>
      </c>
      <c r="S61" s="18">
        <v>67.36</v>
      </c>
      <c r="T61" s="36">
        <f t="shared" ref="T61:T67" si="16">F61*S61</f>
        <v>1711.6286334811807</v>
      </c>
      <c r="U61" s="22">
        <v>62.49</v>
      </c>
      <c r="V61" s="30">
        <f t="shared" ref="V61:V67" si="17">F61*U61</f>
        <v>1587.8811357814575</v>
      </c>
    </row>
    <row r="62" spans="1:22" x14ac:dyDescent="0.3">
      <c r="A62" s="1">
        <v>3</v>
      </c>
      <c r="B62" s="1" t="str">
        <f>VLOOKUP(C62,Universe!$C$2:$E$201,3,FALSE)</f>
        <v>Financials</v>
      </c>
      <c r="C62" s="1" t="s">
        <v>127</v>
      </c>
      <c r="D62" s="1" t="str">
        <f>VLOOKUP(C62,Universe!$C$2:$D$201,2,FALSE)</f>
        <v>Progressive Corp</v>
      </c>
      <c r="E62" s="21">
        <v>0.15</v>
      </c>
      <c r="F62" s="16">
        <f t="shared" si="15"/>
        <v>8.3457439830375968</v>
      </c>
      <c r="S62" s="18">
        <v>205.09</v>
      </c>
      <c r="T62" s="36">
        <f t="shared" si="16"/>
        <v>1711.6286334811807</v>
      </c>
      <c r="U62" s="22">
        <v>210.89</v>
      </c>
      <c r="V62" s="30">
        <f t="shared" si="17"/>
        <v>1760.0339485827988</v>
      </c>
    </row>
    <row r="63" spans="1:22" x14ac:dyDescent="0.3">
      <c r="A63" s="1">
        <v>4</v>
      </c>
      <c r="B63" s="1" t="str">
        <f>VLOOKUP(C63,Universe!$C$2:$E$201,3,FALSE)</f>
        <v>Consumer Staples</v>
      </c>
      <c r="C63" s="1" t="s">
        <v>46</v>
      </c>
      <c r="D63" s="1" t="str">
        <f>VLOOKUP(C63,Universe!$C$2:$D$201,2,FALSE)</f>
        <v>Costco Wholesale Corp</v>
      </c>
      <c r="E63" s="21">
        <v>0.15</v>
      </c>
      <c r="F63" s="16">
        <f t="shared" si="15"/>
        <v>2.0401547534252482</v>
      </c>
      <c r="S63" s="18">
        <v>838.97</v>
      </c>
      <c r="T63" s="36">
        <f t="shared" si="16"/>
        <v>1711.6286334811805</v>
      </c>
      <c r="U63" s="22">
        <v>811.57</v>
      </c>
      <c r="V63" s="30">
        <f t="shared" si="17"/>
        <v>1655.7283932373289</v>
      </c>
    </row>
    <row r="64" spans="1:22" x14ac:dyDescent="0.3">
      <c r="A64" s="1">
        <v>5</v>
      </c>
      <c r="B64" s="1" t="str">
        <f>VLOOKUP(C64,Universe!$C$2:$E$201,3,FALSE)</f>
        <v>Consumer Discretionary</v>
      </c>
      <c r="C64" s="1" t="s">
        <v>407</v>
      </c>
      <c r="D64" s="1" t="str">
        <f>VLOOKUP(C64,Universe!$C$2:$D$201,2,FALSE)</f>
        <v>Royal Caribbean</v>
      </c>
      <c r="E64" s="21">
        <v>0.13900000000000001</v>
      </c>
      <c r="F64" s="16">
        <f t="shared" si="15"/>
        <v>10.280051852739826</v>
      </c>
      <c r="S64" s="18">
        <v>154.29</v>
      </c>
      <c r="T64" s="36">
        <f t="shared" si="16"/>
        <v>1586.1092003592275</v>
      </c>
      <c r="U64" s="22">
        <v>146.03</v>
      </c>
      <c r="V64" s="30">
        <f t="shared" si="17"/>
        <v>1501.1959720555967</v>
      </c>
    </row>
    <row r="65" spans="1:24" x14ac:dyDescent="0.3">
      <c r="A65" s="1">
        <v>6</v>
      </c>
      <c r="B65" s="1" t="str">
        <f>VLOOKUP(C65,Universe!$C$2:$E$201,3,FALSE)</f>
        <v>Information Technology</v>
      </c>
      <c r="C65" s="1" t="s">
        <v>108</v>
      </c>
      <c r="D65" s="1" t="str">
        <f>VLOOKUP(C65,Universe!$C$2:$D$201,2,FALSE)</f>
        <v>Uber Technologies</v>
      </c>
      <c r="E65" s="21">
        <v>0.1331</v>
      </c>
      <c r="F65" s="16">
        <f t="shared" si="15"/>
        <v>21.361253738053929</v>
      </c>
      <c r="S65" s="18">
        <v>71.099999999999994</v>
      </c>
      <c r="T65" s="36">
        <f t="shared" si="16"/>
        <v>1518.7851407756343</v>
      </c>
      <c r="U65" s="22">
        <v>61.02</v>
      </c>
      <c r="V65" s="30">
        <f t="shared" si="17"/>
        <v>1303.4637030960507</v>
      </c>
    </row>
    <row r="66" spans="1:24" x14ac:dyDescent="0.3">
      <c r="A66" s="1">
        <v>7</v>
      </c>
      <c r="B66" s="1" t="str">
        <f>VLOOKUP(C66,Universe!$C$2:$E$201,3,FALSE)</f>
        <v>Information Technology</v>
      </c>
      <c r="C66" s="1" t="s">
        <v>16</v>
      </c>
      <c r="D66" s="1" t="str">
        <f>VLOOKUP(C66,Universe!$C$2:$D$201,2,FALSE)</f>
        <v>Meta Platforms Inc.</v>
      </c>
      <c r="E66" s="21">
        <v>0.1237</v>
      </c>
      <c r="F66" s="16">
        <f t="shared" si="15"/>
        <v>2.8106232049225364</v>
      </c>
      <c r="S66" s="18">
        <v>502.21</v>
      </c>
      <c r="T66" s="36">
        <f t="shared" si="16"/>
        <v>1411.523079744147</v>
      </c>
      <c r="U66" s="22">
        <v>495.3</v>
      </c>
      <c r="V66" s="30">
        <f t="shared" si="17"/>
        <v>1392.1016733981323</v>
      </c>
    </row>
    <row r="67" spans="1:24" x14ac:dyDescent="0.3">
      <c r="A67" s="1">
        <v>8</v>
      </c>
      <c r="B67" s="1" t="str">
        <f>VLOOKUP(C67,Universe!$C$2:$E$201,3,FALSE)</f>
        <v>Information Technology</v>
      </c>
      <c r="C67" s="1" t="s">
        <v>67</v>
      </c>
      <c r="D67" s="1" t="str">
        <f>VLOOKUP(C67,Universe!$C$2:$D$201,2,FALSE)</f>
        <v>Micron Technology</v>
      </c>
      <c r="E67" s="21">
        <v>4.1999999999999997E-3</v>
      </c>
      <c r="F67" s="16">
        <f t="shared" si="15"/>
        <v>0.36665596922556082</v>
      </c>
      <c r="S67" s="18">
        <v>130.71</v>
      </c>
      <c r="T67" s="36">
        <f t="shared" si="16"/>
        <v>47.925601737473059</v>
      </c>
      <c r="U67" s="22">
        <v>100.97</v>
      </c>
      <c r="V67" s="30">
        <f t="shared" si="17"/>
        <v>37.021253212704877</v>
      </c>
    </row>
    <row r="68" spans="1:24" x14ac:dyDescent="0.3">
      <c r="F68" s="16"/>
      <c r="T68" s="36">
        <f>SUM(T60:T67)</f>
        <v>11410.857556541205</v>
      </c>
      <c r="V68" s="36">
        <f>SUM(V60:V67)</f>
        <v>10835.090798252919</v>
      </c>
    </row>
    <row r="69" spans="1:24" x14ac:dyDescent="0.3">
      <c r="V69" s="21">
        <f>(V68-T68)/T68</f>
        <v>-5.0457799112410363E-2</v>
      </c>
    </row>
    <row r="71" spans="1:24" x14ac:dyDescent="0.3">
      <c r="A71" s="26" t="s">
        <v>442</v>
      </c>
      <c r="D71" s="35">
        <f>V68</f>
        <v>10835.090798252919</v>
      </c>
    </row>
    <row r="72" spans="1:24" x14ac:dyDescent="0.3">
      <c r="A72" s="1">
        <v>1</v>
      </c>
      <c r="B72" s="1" t="str">
        <f>VLOOKUP(C72,Universe!$C$2:$E$201,3,FALSE)</f>
        <v>Consumer Staples</v>
      </c>
      <c r="C72" s="1" t="s">
        <v>46</v>
      </c>
      <c r="D72" s="1" t="str">
        <f>VLOOKUP(C72,Universe!$C$2:$D$201,2,FALSE)</f>
        <v>Costco Wholesale Corp</v>
      </c>
      <c r="E72" s="21">
        <v>0.15</v>
      </c>
      <c r="F72" s="16">
        <f>$D$71*E72/U72</f>
        <v>2.0026166809245507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2">
        <v>811.57</v>
      </c>
      <c r="V72" s="19">
        <f>F72*U72</f>
        <v>1625.2636197379377</v>
      </c>
      <c r="W72">
        <v>886.57</v>
      </c>
      <c r="X72" s="30">
        <f>F72*W72</f>
        <v>1775.459870807279</v>
      </c>
    </row>
    <row r="73" spans="1:24" x14ac:dyDescent="0.3">
      <c r="A73" s="1">
        <v>2</v>
      </c>
      <c r="B73" s="1" t="str">
        <f>VLOOKUP(C73,Universe!$C$2:$E$201,3,FALSE)</f>
        <v>Consumer Staples</v>
      </c>
      <c r="C73" s="1" t="s">
        <v>260</v>
      </c>
      <c r="D73" s="1" t="str">
        <f>VLOOKUP(C73,Universe!$C$2:$D$201,2,FALSE)</f>
        <v>Colgate-Palmolive</v>
      </c>
      <c r="E73" s="21">
        <v>0.15</v>
      </c>
      <c r="F73" s="16">
        <f t="shared" ref="F73:F81" si="18">$D$71*E73/U73</f>
        <v>16.574175196185372</v>
      </c>
      <c r="U73" s="22">
        <v>98.06</v>
      </c>
      <c r="V73" s="19">
        <f t="shared" ref="V73:V81" si="19">F73*U73</f>
        <v>1625.2636197379377</v>
      </c>
      <c r="W73">
        <v>103.47</v>
      </c>
      <c r="X73" s="30">
        <f t="shared" ref="X73:X81" si="20">F73*W73</f>
        <v>1714.9299075493004</v>
      </c>
    </row>
    <row r="74" spans="1:24" x14ac:dyDescent="0.3">
      <c r="A74" s="1">
        <v>3</v>
      </c>
      <c r="B74" s="1" t="str">
        <f>VLOOKUP(C74,Universe!$C$2:$E$201,3,FALSE)</f>
        <v>Information Technology</v>
      </c>
      <c r="C74" s="1" t="s">
        <v>74</v>
      </c>
      <c r="D74" s="1" t="str">
        <f>VLOOKUP(C74,Universe!$C$2:$D$201,2,FALSE)</f>
        <v>T-Mobile US</v>
      </c>
      <c r="E74" s="21">
        <v>0.15</v>
      </c>
      <c r="F74" s="16">
        <f t="shared" si="18"/>
        <v>8.8841347968620195</v>
      </c>
      <c r="U74" s="22">
        <v>182.94</v>
      </c>
      <c r="V74" s="19">
        <f t="shared" si="19"/>
        <v>1625.2636197379379</v>
      </c>
      <c r="W74">
        <v>194.96</v>
      </c>
      <c r="X74" s="30">
        <f t="shared" si="20"/>
        <v>1732.0509199962194</v>
      </c>
    </row>
    <row r="75" spans="1:24" x14ac:dyDescent="0.3">
      <c r="A75" s="1">
        <v>4</v>
      </c>
      <c r="B75" s="1" t="str">
        <f>VLOOKUP(C75,Universe!$C$2:$E$201,3,FALSE)</f>
        <v>Financials</v>
      </c>
      <c r="C75" s="1" t="s">
        <v>127</v>
      </c>
      <c r="D75" s="1" t="str">
        <f>VLOOKUP(C75,Universe!$C$2:$D$201,2,FALSE)</f>
        <v>Progressive Corp</v>
      </c>
      <c r="E75" s="21">
        <v>0.15</v>
      </c>
      <c r="F75" s="16">
        <f t="shared" si="18"/>
        <v>7.7066888886999756</v>
      </c>
      <c r="U75" s="22">
        <v>210.89</v>
      </c>
      <c r="V75" s="19">
        <f t="shared" si="19"/>
        <v>1625.2636197379377</v>
      </c>
      <c r="W75">
        <v>247.06</v>
      </c>
      <c r="X75" s="30">
        <f t="shared" si="20"/>
        <v>1904.0145568422161</v>
      </c>
    </row>
    <row r="76" spans="1:24" x14ac:dyDescent="0.3">
      <c r="A76" s="1">
        <v>5</v>
      </c>
      <c r="B76" s="1" t="str">
        <f>VLOOKUP(C76,Universe!$C$2:$E$201,3,FALSE)</f>
        <v>Health Care</v>
      </c>
      <c r="C76" s="1" t="s">
        <v>124</v>
      </c>
      <c r="D76" s="1" t="str">
        <f>VLOOKUP(C76,Universe!$C$2:$D$201,2,FALSE)</f>
        <v>Boston Scientific</v>
      </c>
      <c r="E76" s="21">
        <v>0.14419999999999999</v>
      </c>
      <c r="F76" s="16">
        <f t="shared" si="18"/>
        <v>20.787920344705576</v>
      </c>
      <c r="U76" s="22">
        <v>75.16</v>
      </c>
      <c r="V76" s="19">
        <f t="shared" si="19"/>
        <v>1562.4200931080711</v>
      </c>
      <c r="W76">
        <v>81.790000000000006</v>
      </c>
      <c r="X76" s="30">
        <f t="shared" si="20"/>
        <v>1700.2440049934692</v>
      </c>
    </row>
    <row r="77" spans="1:24" x14ac:dyDescent="0.3">
      <c r="A77" s="1">
        <v>6</v>
      </c>
      <c r="B77" s="1" t="str">
        <f>VLOOKUP(C77,Universe!$C$2:$E$201,3,FALSE)</f>
        <v>Communication Services</v>
      </c>
      <c r="C77" s="1" t="s">
        <v>97</v>
      </c>
      <c r="D77" s="1" t="str">
        <f>VLOOKUP(C77,Universe!$C$2:$D$201,2,FALSE)</f>
        <v>AT&amp;T Inc.</v>
      </c>
      <c r="E77" s="21">
        <v>9.6299999999999997E-2</v>
      </c>
      <c r="F77" s="16">
        <f t="shared" si="18"/>
        <v>56.70756760172587</v>
      </c>
      <c r="U77" s="22">
        <v>18.399999999999999</v>
      </c>
      <c r="V77" s="19">
        <f t="shared" si="19"/>
        <v>1043.419243871756</v>
      </c>
      <c r="W77">
        <v>18.809999999999999</v>
      </c>
      <c r="X77" s="30">
        <f t="shared" si="20"/>
        <v>1066.6693465884634</v>
      </c>
    </row>
    <row r="78" spans="1:24" x14ac:dyDescent="0.3">
      <c r="A78" s="1">
        <v>7</v>
      </c>
      <c r="B78" s="1" t="str">
        <f>VLOOKUP(C78,Universe!$C$2:$E$201,3,FALSE)</f>
        <v>Health Care</v>
      </c>
      <c r="C78" s="1" t="s">
        <v>246</v>
      </c>
      <c r="D78" s="1" t="str">
        <f>VLOOKUP(C78,Universe!$C$2:$D$201,2,FALSE)</f>
        <v>The Cigna Group</v>
      </c>
      <c r="E78" s="21">
        <v>7.3300000000000004E-2</v>
      </c>
      <c r="F78" s="16">
        <f t="shared" si="18"/>
        <v>2.4565795097802012</v>
      </c>
      <c r="U78" s="22">
        <v>323.3</v>
      </c>
      <c r="V78" s="19">
        <f t="shared" si="19"/>
        <v>794.21215551193905</v>
      </c>
      <c r="W78">
        <v>351.69</v>
      </c>
      <c r="X78" s="30">
        <f t="shared" si="20"/>
        <v>863.95444779459899</v>
      </c>
    </row>
    <row r="79" spans="1:24" x14ac:dyDescent="0.3">
      <c r="A79" s="1">
        <v>8</v>
      </c>
      <c r="B79" s="1" t="str">
        <f>VLOOKUP(C79,Universe!$C$2:$E$201,3,FALSE)</f>
        <v>Financials</v>
      </c>
      <c r="C79" s="1" t="s">
        <v>138</v>
      </c>
      <c r="D79" s="1" t="str">
        <f>VLOOKUP(C79,Universe!$C$2:$D$201,2,FALSE)</f>
        <v>Chubb Ltd</v>
      </c>
      <c r="E79" s="21">
        <v>5.0500000000000003E-2</v>
      </c>
      <c r="F79" s="16">
        <f t="shared" si="18"/>
        <v>2.038340356548102</v>
      </c>
      <c r="U79" s="22">
        <v>268.44</v>
      </c>
      <c r="V79" s="19">
        <f t="shared" si="19"/>
        <v>547.17208531177243</v>
      </c>
      <c r="W79">
        <v>280.51</v>
      </c>
      <c r="X79" s="30">
        <f t="shared" si="20"/>
        <v>571.77485341530803</v>
      </c>
    </row>
    <row r="80" spans="1:24" x14ac:dyDescent="0.3">
      <c r="A80" s="1">
        <v>9</v>
      </c>
      <c r="B80" s="1" t="str">
        <f>VLOOKUP(C80,Universe!$C$2:$E$201,3,FALSE)</f>
        <v>Industrials</v>
      </c>
      <c r="C80" s="1" t="s">
        <v>244</v>
      </c>
      <c r="D80" s="1" t="str">
        <f>VLOOKUP(C80,Universe!$C$2:$D$201,2,FALSE)</f>
        <v>General Dynamics</v>
      </c>
      <c r="E80" s="21">
        <v>2.2200000000000001E-2</v>
      </c>
      <c r="F80" s="16">
        <f t="shared" si="18"/>
        <v>0.84057525762236085</v>
      </c>
      <c r="U80" s="22">
        <v>286.16000000000003</v>
      </c>
      <c r="V80" s="19">
        <f t="shared" si="19"/>
        <v>240.53901572121481</v>
      </c>
      <c r="W80">
        <v>291.93</v>
      </c>
      <c r="X80" s="30">
        <f t="shared" si="20"/>
        <v>245.3891349576958</v>
      </c>
    </row>
    <row r="81" spans="1:28" x14ac:dyDescent="0.3">
      <c r="A81" s="1">
        <v>10</v>
      </c>
      <c r="B81" s="1" t="str">
        <f>VLOOKUP(C81,Universe!$C$2:$E$201,3,FALSE)</f>
        <v>Information Technology</v>
      </c>
      <c r="C81" s="1" t="s">
        <v>358</v>
      </c>
      <c r="D81" s="1" t="str">
        <f>VLOOKUP(C81,Universe!$C$2:$D$201,2,FALSE)</f>
        <v>Seagate Tech.</v>
      </c>
      <c r="E81" s="21">
        <v>1.34E-2</v>
      </c>
      <c r="F81" s="16">
        <f t="shared" si="18"/>
        <v>1.5120830732825361</v>
      </c>
      <c r="U81" s="22">
        <v>96.02</v>
      </c>
      <c r="V81" s="19">
        <f t="shared" si="19"/>
        <v>145.19021669658912</v>
      </c>
      <c r="W81">
        <v>96.54</v>
      </c>
      <c r="X81" s="30">
        <f t="shared" si="20"/>
        <v>145.97649989469605</v>
      </c>
    </row>
    <row r="82" spans="1:28" x14ac:dyDescent="0.3">
      <c r="V82" s="19">
        <f>SUM(V72:V81)</f>
        <v>10834.007289173094</v>
      </c>
      <c r="X82" s="19">
        <f>SUM(X72:X81)</f>
        <v>11720.463542839245</v>
      </c>
    </row>
    <row r="83" spans="1:28" x14ac:dyDescent="0.3">
      <c r="X83" s="21">
        <f>(X82-V82)/V82</f>
        <v>8.1821640876319671E-2</v>
      </c>
    </row>
    <row r="85" spans="1:28" x14ac:dyDescent="0.3">
      <c r="A85" s="26" t="s">
        <v>443</v>
      </c>
      <c r="D85" s="27">
        <f>X82</f>
        <v>11720.463542839245</v>
      </c>
    </row>
    <row r="86" spans="1:28" x14ac:dyDescent="0.3">
      <c r="A86" s="1">
        <v>1</v>
      </c>
      <c r="B86" s="1" t="str">
        <f>VLOOKUP(C86,Universe!$C$2:$E$201,3,FALSE)</f>
        <v>Consumer Staples</v>
      </c>
      <c r="C86" s="1" t="s">
        <v>260</v>
      </c>
      <c r="D86" s="1" t="str">
        <f>VLOOKUP(C86,Universe!$C$2:$D$201,2,FALSE)</f>
        <v>Colgate-Palmolive</v>
      </c>
      <c r="E86" s="21">
        <v>0.15</v>
      </c>
      <c r="F86" s="19">
        <f>$D$85*E86/W86</f>
        <v>16.991104005275798</v>
      </c>
      <c r="W86">
        <v>103.47</v>
      </c>
      <c r="X86" s="19">
        <f>F86*W86</f>
        <v>1758.0695314258867</v>
      </c>
      <c r="Y86">
        <v>99.42</v>
      </c>
      <c r="Z86" s="19">
        <f>F86*Y86</f>
        <v>1689.2555602045197</v>
      </c>
      <c r="AA86">
        <v>91.13</v>
      </c>
      <c r="AB86" s="19">
        <f>F86*AA86</f>
        <v>1548.3993080007833</v>
      </c>
    </row>
    <row r="87" spans="1:28" x14ac:dyDescent="0.3">
      <c r="A87" s="1">
        <v>2</v>
      </c>
      <c r="B87" s="1" t="str">
        <f>VLOOKUP(C87,Universe!$C$2:$E$201,3,FALSE)</f>
        <v>Industrials</v>
      </c>
      <c r="C87" s="1" t="s">
        <v>242</v>
      </c>
      <c r="D87" s="1" t="str">
        <f>VLOOKUP(C87,Universe!$C$2:$D$201,2,FALSE)</f>
        <v>Northrop Grumman</v>
      </c>
      <c r="E87" s="21">
        <v>0.15</v>
      </c>
      <c r="F87" s="19">
        <f t="shared" ref="F87:F97" si="21">$D$85*E87/W87</f>
        <v>3.4465193715465334</v>
      </c>
      <c r="W87">
        <v>510.1</v>
      </c>
      <c r="X87" s="19">
        <f t="shared" ref="X87:X97" si="22">F87*W87</f>
        <v>1758.0695314258867</v>
      </c>
      <c r="Y87">
        <v>532.35</v>
      </c>
      <c r="Z87" s="19">
        <f t="shared" ref="Z87:Z97" si="23">F87*Y87</f>
        <v>1834.7545874427972</v>
      </c>
      <c r="AA87">
        <v>496.2</v>
      </c>
      <c r="AB87" s="19">
        <f t="shared" ref="AB87:AB97" si="24">F87*AA87</f>
        <v>1710.1629121613898</v>
      </c>
    </row>
    <row r="88" spans="1:28" x14ac:dyDescent="0.3">
      <c r="A88" s="1">
        <v>3</v>
      </c>
      <c r="B88" s="1" t="str">
        <f>VLOOKUP(C88,Universe!$C$2:$E$201,3,FALSE)</f>
        <v>Consumer Staples</v>
      </c>
      <c r="C88" s="1" t="s">
        <v>27</v>
      </c>
      <c r="D88" s="1" t="str">
        <f>VLOOKUP(C88,Universe!$C$2:$D$201,2,FALSE)</f>
        <v>Walmart Inc.</v>
      </c>
      <c r="E88" s="21">
        <v>0.15</v>
      </c>
      <c r="F88" s="19">
        <f t="shared" si="21"/>
        <v>23.032484362975065</v>
      </c>
      <c r="W88">
        <v>76.33</v>
      </c>
      <c r="X88" s="19">
        <f t="shared" si="22"/>
        <v>1758.0695314258867</v>
      </c>
      <c r="Y88">
        <v>80.319999999999993</v>
      </c>
      <c r="Z88" s="19">
        <f t="shared" si="23"/>
        <v>1849.9691440341571</v>
      </c>
      <c r="AA88">
        <v>81.23</v>
      </c>
      <c r="AB88" s="19">
        <f t="shared" si="24"/>
        <v>1870.9287048044646</v>
      </c>
    </row>
    <row r="89" spans="1:28" x14ac:dyDescent="0.3">
      <c r="A89" s="1">
        <v>4</v>
      </c>
      <c r="B89" s="1" t="str">
        <f>VLOOKUP(C89,Universe!$C$2:$E$201,3,FALSE)</f>
        <v>Communication Services</v>
      </c>
      <c r="C89" s="1" t="s">
        <v>97</v>
      </c>
      <c r="D89" s="1" t="str">
        <f>VLOOKUP(C89,Universe!$C$2:$D$201,2,FALSE)</f>
        <v>AT&amp;T Inc.</v>
      </c>
      <c r="E89" s="21">
        <v>0.1198</v>
      </c>
      <c r="F89" s="19">
        <f t="shared" si="21"/>
        <v>74.647077747588597</v>
      </c>
      <c r="W89">
        <v>18.809999999999999</v>
      </c>
      <c r="X89" s="19">
        <f t="shared" si="22"/>
        <v>1404.1115324321413</v>
      </c>
      <c r="Y89">
        <v>20.91</v>
      </c>
      <c r="Z89" s="19">
        <f t="shared" si="23"/>
        <v>1560.8703957020775</v>
      </c>
      <c r="AA89">
        <v>21.17</v>
      </c>
      <c r="AB89" s="19">
        <f t="shared" si="24"/>
        <v>1580.2786359164506</v>
      </c>
    </row>
    <row r="90" spans="1:28" x14ac:dyDescent="0.3">
      <c r="A90" s="1">
        <v>5</v>
      </c>
      <c r="B90" s="1" t="str">
        <f>VLOOKUP(C90,Universe!$C$2:$E$201,3,FALSE)</f>
        <v>Information Technology</v>
      </c>
      <c r="C90" s="1" t="s">
        <v>74</v>
      </c>
      <c r="D90" s="1" t="str">
        <f>VLOOKUP(C90,Universe!$C$2:$D$201,2,FALSE)</f>
        <v>T-Mobile US</v>
      </c>
      <c r="E90" s="21">
        <v>8.7300000000000003E-2</v>
      </c>
      <c r="F90" s="19">
        <f t="shared" si="21"/>
        <v>5.2482379323444093</v>
      </c>
      <c r="W90">
        <v>194.96</v>
      </c>
      <c r="X90" s="19">
        <f t="shared" si="22"/>
        <v>1023.1964672898661</v>
      </c>
      <c r="Y90">
        <v>202.2</v>
      </c>
      <c r="Z90" s="19">
        <f t="shared" si="23"/>
        <v>1061.1937099200395</v>
      </c>
      <c r="AA90">
        <v>219.06</v>
      </c>
      <c r="AB90" s="19">
        <f t="shared" si="24"/>
        <v>1149.6790014593664</v>
      </c>
    </row>
    <row r="91" spans="1:28" x14ac:dyDescent="0.3">
      <c r="A91" s="1">
        <v>6</v>
      </c>
      <c r="B91" s="1" t="str">
        <f>VLOOKUP(C91,Universe!$C$2:$E$201,3,FALSE)</f>
        <v>Consumer Staples</v>
      </c>
      <c r="C91" s="1" t="s">
        <v>46</v>
      </c>
      <c r="D91" s="1" t="str">
        <f>VLOOKUP(C91,Universe!$C$2:$D$201,2,FALSE)</f>
        <v>Costco Wholesale Corp</v>
      </c>
      <c r="E91" s="21">
        <v>6.93E-2</v>
      </c>
      <c r="F91" s="19">
        <f t="shared" si="21"/>
        <v>0.91614663649656491</v>
      </c>
      <c r="W91">
        <v>886.57</v>
      </c>
      <c r="X91" s="19">
        <f t="shared" si="22"/>
        <v>812.22812351875962</v>
      </c>
      <c r="Y91">
        <v>871.67</v>
      </c>
      <c r="Z91" s="19">
        <f t="shared" si="23"/>
        <v>798.57753863496066</v>
      </c>
      <c r="AA91">
        <v>872.76</v>
      </c>
      <c r="AB91" s="19">
        <f t="shared" si="24"/>
        <v>799.57613846874199</v>
      </c>
    </row>
    <row r="92" spans="1:28" x14ac:dyDescent="0.3">
      <c r="A92" s="1">
        <v>7</v>
      </c>
      <c r="B92" s="1" t="str">
        <f>VLOOKUP(C92,Universe!$C$2:$E$201,3,FALSE)</f>
        <v>Financials</v>
      </c>
      <c r="C92" s="1" t="s">
        <v>138</v>
      </c>
      <c r="D92" s="1" t="str">
        <f>VLOOKUP(C92,Universe!$C$2:$D$201,2,FALSE)</f>
        <v>Chubb Ltd</v>
      </c>
      <c r="E92" s="21">
        <v>6.6600000000000006E-2</v>
      </c>
      <c r="F92" s="19">
        <f t="shared" si="21"/>
        <v>2.7827274320098883</v>
      </c>
      <c r="W92">
        <v>280.51</v>
      </c>
      <c r="X92" s="19">
        <f t="shared" si="22"/>
        <v>780.58287195309379</v>
      </c>
      <c r="Y92">
        <v>289.26</v>
      </c>
      <c r="Z92" s="19">
        <f t="shared" si="23"/>
        <v>804.93173698318026</v>
      </c>
      <c r="AA92">
        <v>274.7</v>
      </c>
      <c r="AB92" s="19">
        <f t="shared" si="24"/>
        <v>764.41522557311623</v>
      </c>
    </row>
    <row r="93" spans="1:28" x14ac:dyDescent="0.3">
      <c r="A93" s="1">
        <v>8</v>
      </c>
      <c r="B93" s="1" t="str">
        <f>VLOOKUP(C93,Universe!$C$2:$E$201,3,FALSE)</f>
        <v>Health Care</v>
      </c>
      <c r="C93" s="1" t="s">
        <v>145</v>
      </c>
      <c r="D93" s="1" t="str">
        <f>VLOOKUP(C93,Universe!$C$2:$D$201,2,FALSE)</f>
        <v>Vertex Pharma</v>
      </c>
      <c r="E93" s="21">
        <v>6.3100000000000003E-2</v>
      </c>
      <c r="F93" s="19">
        <f t="shared" si="21"/>
        <v>1.4913816563212736</v>
      </c>
      <c r="W93">
        <v>495.89</v>
      </c>
      <c r="X93" s="19">
        <f t="shared" si="22"/>
        <v>739.56124955315636</v>
      </c>
      <c r="Y93">
        <v>469.79</v>
      </c>
      <c r="Z93" s="19">
        <f t="shared" si="23"/>
        <v>700.63618832317115</v>
      </c>
      <c r="AA93">
        <v>471.12</v>
      </c>
      <c r="AB93" s="19">
        <f t="shared" si="24"/>
        <v>702.61972592607844</v>
      </c>
    </row>
    <row r="94" spans="1:28" x14ac:dyDescent="0.3">
      <c r="A94" s="1">
        <v>9</v>
      </c>
      <c r="B94" s="1" t="str">
        <f>VLOOKUP(C94,Universe!$C$2:$E$201,3,FALSE)</f>
        <v>Health Care</v>
      </c>
      <c r="C94" s="1" t="s">
        <v>24</v>
      </c>
      <c r="D94" s="1" t="str">
        <f>VLOOKUP(C94,Universe!$C$2:$D$201,2,FALSE)</f>
        <v>Eli Lilly and Company</v>
      </c>
      <c r="E94" s="21">
        <v>4.8000000000000001E-2</v>
      </c>
      <c r="F94" s="19">
        <f t="shared" si="21"/>
        <v>0.59135771654327973</v>
      </c>
      <c r="W94">
        <v>951.34</v>
      </c>
      <c r="X94" s="19">
        <f t="shared" si="22"/>
        <v>562.58225005628378</v>
      </c>
      <c r="Y94">
        <v>876.48</v>
      </c>
      <c r="Z94" s="19">
        <f t="shared" si="23"/>
        <v>518.31321139585384</v>
      </c>
      <c r="AA94">
        <v>811.52</v>
      </c>
      <c r="AB94" s="19">
        <f t="shared" si="24"/>
        <v>479.89861412920237</v>
      </c>
    </row>
    <row r="95" spans="1:28" x14ac:dyDescent="0.3">
      <c r="A95" s="1">
        <v>10</v>
      </c>
      <c r="B95" s="1" t="str">
        <f>VLOOKUP(C95,Universe!$C$2:$E$201,3,FALSE)</f>
        <v>Health Care</v>
      </c>
      <c r="C95" s="1" t="s">
        <v>56</v>
      </c>
      <c r="D95" s="1" t="str">
        <f>VLOOKUP(C95,Universe!$C$2:$D$201,2,FALSE)</f>
        <v>UnitedHealth Group</v>
      </c>
      <c r="E95" s="21">
        <v>4.5199999999999997E-2</v>
      </c>
      <c r="F95" s="19">
        <f t="shared" si="21"/>
        <v>0.92650265331036541</v>
      </c>
      <c r="W95">
        <v>571.79</v>
      </c>
      <c r="X95" s="19">
        <f t="shared" si="22"/>
        <v>529.76495213633382</v>
      </c>
      <c r="Y95">
        <v>567.11</v>
      </c>
      <c r="Z95" s="19">
        <f t="shared" si="23"/>
        <v>525.42891971884137</v>
      </c>
      <c r="AA95">
        <v>551.79999999999995</v>
      </c>
      <c r="AB95" s="19">
        <f t="shared" si="24"/>
        <v>511.24416409665957</v>
      </c>
    </row>
    <row r="96" spans="1:28" x14ac:dyDescent="0.3">
      <c r="A96" s="1">
        <v>11</v>
      </c>
      <c r="B96" s="1" t="str">
        <f>VLOOKUP(C96,Universe!$C$2:$E$201,3,FALSE)</f>
        <v>Financials</v>
      </c>
      <c r="C96" s="1" t="s">
        <v>127</v>
      </c>
      <c r="D96" s="1" t="str">
        <f>VLOOKUP(C96,Universe!$C$2:$D$201,2,FALSE)</f>
        <v>Progressive Corp</v>
      </c>
      <c r="E96" s="21">
        <v>3.3000000000000002E-2</v>
      </c>
      <c r="F96" s="19">
        <f t="shared" si="21"/>
        <v>1.5655116041192225</v>
      </c>
      <c r="W96">
        <v>247.06</v>
      </c>
      <c r="X96" s="19">
        <f t="shared" si="22"/>
        <v>386.77529691369512</v>
      </c>
      <c r="Y96">
        <v>249.08</v>
      </c>
      <c r="Z96" s="19">
        <f t="shared" si="23"/>
        <v>389.93763035401594</v>
      </c>
      <c r="AA96">
        <v>237.86</v>
      </c>
      <c r="AB96" s="19">
        <f t="shared" si="24"/>
        <v>372.37259015579826</v>
      </c>
    </row>
    <row r="97" spans="1:30" x14ac:dyDescent="0.3">
      <c r="A97" s="1">
        <v>12</v>
      </c>
      <c r="B97" s="1" t="str">
        <f>VLOOKUP(C97,Universe!$C$2:$E$201,3,FALSE)</f>
        <v>Health Care</v>
      </c>
      <c r="C97" s="1" t="s">
        <v>124</v>
      </c>
      <c r="D97" s="1" t="str">
        <f>VLOOKUP(C97,Universe!$C$2:$D$201,2,FALSE)</f>
        <v>Boston Scientific</v>
      </c>
      <c r="E97" s="21">
        <v>1.77E-2</v>
      </c>
      <c r="F97" s="19">
        <f t="shared" si="21"/>
        <v>2.5364005955282383</v>
      </c>
      <c r="W97">
        <v>81.790000000000006</v>
      </c>
      <c r="X97" s="19">
        <f t="shared" si="22"/>
        <v>207.45220470825461</v>
      </c>
      <c r="Y97">
        <v>84.14</v>
      </c>
      <c r="Z97" s="19">
        <f t="shared" si="23"/>
        <v>213.41274610774596</v>
      </c>
      <c r="AA97">
        <v>83.62</v>
      </c>
      <c r="AB97" s="19">
        <f t="shared" si="24"/>
        <v>212.09381779807129</v>
      </c>
    </row>
    <row r="98" spans="1:30" x14ac:dyDescent="0.3">
      <c r="X98" s="19">
        <f>SUM(X86:X97)</f>
        <v>11720.463542839247</v>
      </c>
      <c r="Z98" s="19">
        <f>SUM(Z86:Z97)</f>
        <v>11947.281368821361</v>
      </c>
      <c r="AB98" s="19">
        <f>SUM(AB86:AB97)</f>
        <v>11701.668838490124</v>
      </c>
    </row>
    <row r="99" spans="1:30" x14ac:dyDescent="0.3">
      <c r="Z99" s="21">
        <f>(Z98-X98)/X98</f>
        <v>1.9352291413481788E-2</v>
      </c>
      <c r="AB99" s="21">
        <f>(AB98-Z98)/Z98</f>
        <v>-2.0558026780235359E-2</v>
      </c>
    </row>
    <row r="101" spans="1:30" x14ac:dyDescent="0.3">
      <c r="A101" s="26" t="s">
        <v>444</v>
      </c>
      <c r="D101" s="28">
        <f>AB98</f>
        <v>11701.668838490124</v>
      </c>
    </row>
    <row r="102" spans="1:30" x14ac:dyDescent="0.3">
      <c r="A102" s="1">
        <v>1</v>
      </c>
      <c r="B102" s="1" t="str">
        <f>VLOOKUP(C102,Universe!$C$2:$E$201,3,FALSE)</f>
        <v>Information Technology</v>
      </c>
      <c r="C102" s="1" t="s">
        <v>74</v>
      </c>
      <c r="D102" s="1" t="str">
        <f>VLOOKUP(C102,Universe!$C$2:$D$201,2,FALSE)</f>
        <v>T-Mobile US</v>
      </c>
      <c r="E102" s="21">
        <v>0.15</v>
      </c>
      <c r="F102" s="16">
        <f>$D$101*E102/AA102</f>
        <v>8.0126464246029343</v>
      </c>
      <c r="AA102">
        <v>219.06</v>
      </c>
      <c r="AB102" s="22">
        <f>F102*AA102</f>
        <v>1755.2503257735189</v>
      </c>
      <c r="AC102">
        <v>243.15</v>
      </c>
      <c r="AD102" s="22">
        <f>F102*AC102</f>
        <v>1948.2749781422035</v>
      </c>
    </row>
    <row r="103" spans="1:30" x14ac:dyDescent="0.3">
      <c r="A103" s="1">
        <v>2</v>
      </c>
      <c r="B103" s="1" t="str">
        <f>VLOOKUP(C103,Universe!$C$2:$E$201,3,FALSE)</f>
        <v>Utilities</v>
      </c>
      <c r="C103" s="1" t="s">
        <v>288</v>
      </c>
      <c r="D103" s="1" t="str">
        <f>VLOOKUP(C103,Universe!$C$2:$D$201,2,FALSE)</f>
        <v>Southern Company</v>
      </c>
      <c r="E103" s="21">
        <v>0.15</v>
      </c>
      <c r="F103" s="16">
        <f t="shared" ref="F103:F111" si="25">$D$101*E103/AA103</f>
        <v>20.657294642503455</v>
      </c>
      <c r="AA103">
        <v>84.97</v>
      </c>
      <c r="AB103" s="22">
        <f t="shared" ref="AB103:AB111" si="26">F103*AA103</f>
        <v>1755.2503257735186</v>
      </c>
      <c r="AC103">
        <v>86.24</v>
      </c>
      <c r="AD103" s="22">
        <f t="shared" ref="AD103:AD111" si="27">F103*AC103</f>
        <v>1781.4850899694979</v>
      </c>
    </row>
    <row r="104" spans="1:30" x14ac:dyDescent="0.3">
      <c r="A104" s="1">
        <v>3</v>
      </c>
      <c r="B104" s="1" t="str">
        <f>VLOOKUP(C104,Universe!$C$2:$E$201,3,FALSE)</f>
        <v>Consumer Staples</v>
      </c>
      <c r="C104" s="1" t="s">
        <v>27</v>
      </c>
      <c r="D104" s="1" t="str">
        <f>VLOOKUP(C104,Universe!$C$2:$D$201,2,FALSE)</f>
        <v>Walmart Inc.</v>
      </c>
      <c r="E104" s="21">
        <v>0.15</v>
      </c>
      <c r="F104" s="16">
        <f t="shared" si="25"/>
        <v>21.608399923347513</v>
      </c>
      <c r="AA104">
        <v>81.23</v>
      </c>
      <c r="AB104" s="22">
        <f t="shared" si="26"/>
        <v>1755.2503257735186</v>
      </c>
      <c r="AC104">
        <v>91.42</v>
      </c>
      <c r="AD104" s="22">
        <f t="shared" si="27"/>
        <v>1975.4399209924297</v>
      </c>
    </row>
    <row r="105" spans="1:30" x14ac:dyDescent="0.3">
      <c r="A105" s="1">
        <v>4</v>
      </c>
      <c r="B105" s="1" t="str">
        <f>VLOOKUP(C105,Universe!$C$2:$E$201,3,FALSE)</f>
        <v>Communication Services</v>
      </c>
      <c r="C105" s="1" t="s">
        <v>97</v>
      </c>
      <c r="D105" s="1" t="str">
        <f>VLOOKUP(C105,Universe!$C$2:$D$201,2,FALSE)</f>
        <v>AT&amp;T Inc.</v>
      </c>
      <c r="E105" s="21">
        <v>0.125</v>
      </c>
      <c r="F105" s="16">
        <f t="shared" si="25"/>
        <v>69.093462674126854</v>
      </c>
      <c r="AA105">
        <v>21.17</v>
      </c>
      <c r="AB105" s="22">
        <f t="shared" si="26"/>
        <v>1462.7086048112656</v>
      </c>
      <c r="AC105">
        <v>22.17</v>
      </c>
      <c r="AD105" s="22">
        <f t="shared" si="27"/>
        <v>1531.8020674853924</v>
      </c>
    </row>
    <row r="106" spans="1:30" x14ac:dyDescent="0.3">
      <c r="A106" s="1">
        <v>5</v>
      </c>
      <c r="B106" s="1" t="str">
        <f>VLOOKUP(C106,Universe!$C$2:$E$201,3,FALSE)</f>
        <v>Financials</v>
      </c>
      <c r="C106" s="1" t="s">
        <v>127</v>
      </c>
      <c r="D106" s="1" t="str">
        <f>VLOOKUP(C106,Universe!$C$2:$D$201,2,FALSE)</f>
        <v>Progressive Corp</v>
      </c>
      <c r="E106" s="21">
        <v>0.11310000000000001</v>
      </c>
      <c r="F106" s="16">
        <f t="shared" si="25"/>
        <v>5.5640239873590893</v>
      </c>
      <c r="AA106">
        <v>237.86</v>
      </c>
      <c r="AB106" s="22">
        <f t="shared" si="26"/>
        <v>1323.4587456332331</v>
      </c>
      <c r="AC106">
        <v>263.5</v>
      </c>
      <c r="AD106" s="22">
        <f t="shared" si="27"/>
        <v>1466.12032066912</v>
      </c>
    </row>
    <row r="107" spans="1:30" x14ac:dyDescent="0.3">
      <c r="A107" s="1">
        <v>6</v>
      </c>
      <c r="B107" s="1" t="str">
        <f>VLOOKUP(C107,Universe!$C$2:$E$201,3,FALSE)</f>
        <v>Utilities</v>
      </c>
      <c r="C107" s="1" t="s">
        <v>106</v>
      </c>
      <c r="D107" s="1" t="str">
        <f>VLOOKUP(C107,Universe!$C$2:$D$201,2,FALSE)</f>
        <v>NextEra Energy</v>
      </c>
      <c r="E107" s="21">
        <v>0.1087</v>
      </c>
      <c r="F107" s="16">
        <f t="shared" si="25"/>
        <v>17.071150218009347</v>
      </c>
      <c r="AA107">
        <v>74.510000000000005</v>
      </c>
      <c r="AB107" s="22">
        <f t="shared" si="26"/>
        <v>1271.9714027438765</v>
      </c>
      <c r="AC107">
        <v>76.290000000000006</v>
      </c>
      <c r="AD107" s="22">
        <f t="shared" si="27"/>
        <v>1302.3580501319332</v>
      </c>
    </row>
    <row r="108" spans="1:30" x14ac:dyDescent="0.3">
      <c r="A108" s="1">
        <v>7</v>
      </c>
      <c r="B108" s="1" t="str">
        <f>VLOOKUP(C108,Universe!$C$2:$E$201,3,FALSE)</f>
        <v>Consumer Staples</v>
      </c>
      <c r="C108" s="1" t="s">
        <v>68</v>
      </c>
      <c r="D108" s="1" t="str">
        <f>VLOOKUP(C108,Universe!$C$2:$D$201,2,FALSE)</f>
        <v>Philip Morris Intl</v>
      </c>
      <c r="E108" s="21">
        <v>0.1074</v>
      </c>
      <c r="F108" s="16">
        <f t="shared" si="25"/>
        <v>9.9790315487838601</v>
      </c>
      <c r="AA108">
        <v>125.94</v>
      </c>
      <c r="AB108" s="22">
        <f t="shared" si="26"/>
        <v>1256.7592332538393</v>
      </c>
      <c r="AC108">
        <v>128.27000000000001</v>
      </c>
      <c r="AD108" s="22">
        <f t="shared" si="27"/>
        <v>1280.0103767625058</v>
      </c>
    </row>
    <row r="109" spans="1:30" x14ac:dyDescent="0.3">
      <c r="A109" s="1">
        <v>8</v>
      </c>
      <c r="B109" s="1" t="str">
        <f>VLOOKUP(C109,Universe!$C$2:$E$201,3,FALSE)</f>
        <v>Health Care</v>
      </c>
      <c r="C109" s="1" t="s">
        <v>124</v>
      </c>
      <c r="D109" s="1" t="str">
        <f>VLOOKUP(C109,Universe!$C$2:$D$201,2,FALSE)</f>
        <v>Boston Scientific</v>
      </c>
      <c r="E109" s="21">
        <v>7.9600000000000004E-2</v>
      </c>
      <c r="F109" s="16">
        <f t="shared" si="25"/>
        <v>11.139115517146783</v>
      </c>
      <c r="AA109">
        <v>83.62</v>
      </c>
      <c r="AB109" s="22">
        <f t="shared" si="26"/>
        <v>931.45283954381398</v>
      </c>
      <c r="AC109">
        <v>90.66</v>
      </c>
      <c r="AD109" s="22">
        <f t="shared" si="27"/>
        <v>1009.8722127845273</v>
      </c>
    </row>
    <row r="110" spans="1:30" x14ac:dyDescent="0.3">
      <c r="A110" s="1">
        <v>9</v>
      </c>
      <c r="B110" s="1" t="str">
        <f>VLOOKUP(C110,Universe!$C$2:$E$201,3,FALSE)</f>
        <v>Information Technology</v>
      </c>
      <c r="C110" s="1" t="s">
        <v>18</v>
      </c>
      <c r="D110" s="1" t="str">
        <f>VLOOKUP(C110,Universe!$C$2:$D$201,2,FALSE)</f>
        <v>Broadcom Inc.</v>
      </c>
      <c r="E110" s="21">
        <v>9.2999999999999992E-3</v>
      </c>
      <c r="F110" s="16">
        <f t="shared" si="25"/>
        <v>0.65055906383284401</v>
      </c>
      <c r="AA110">
        <v>167.28</v>
      </c>
      <c r="AB110" s="22">
        <f t="shared" si="26"/>
        <v>108.82552019795814</v>
      </c>
      <c r="AC110">
        <v>160.51</v>
      </c>
      <c r="AD110" s="22">
        <f t="shared" si="27"/>
        <v>104.42123533580978</v>
      </c>
    </row>
    <row r="111" spans="1:30" x14ac:dyDescent="0.3">
      <c r="A111" s="1">
        <v>10</v>
      </c>
      <c r="B111" s="1" t="str">
        <f>VLOOKUP(C111,Universe!$C$2:$E$201,3,FALSE)</f>
        <v>Information Technology</v>
      </c>
      <c r="C111" s="1" t="s">
        <v>274</v>
      </c>
      <c r="D111" s="1" t="str">
        <f>VLOOKUP(C111,Universe!$C$2:$D$201,2,FALSE)</f>
        <v>Fortinet Inc.</v>
      </c>
      <c r="E111" s="21">
        <v>6.8999999999999999E-3</v>
      </c>
      <c r="F111" s="16">
        <f t="shared" si="25"/>
        <v>1.0246385150454551</v>
      </c>
      <c r="AA111">
        <v>78.8</v>
      </c>
      <c r="AB111" s="22">
        <f t="shared" si="26"/>
        <v>80.741514985581858</v>
      </c>
      <c r="AC111">
        <v>95.05</v>
      </c>
      <c r="AD111" s="22">
        <f t="shared" si="27"/>
        <v>97.3918908550705</v>
      </c>
    </row>
    <row r="112" spans="1:30" x14ac:dyDescent="0.3">
      <c r="AB112" s="19">
        <f>SUM(AB102:AB111)</f>
        <v>11701.668838490123</v>
      </c>
      <c r="AD112" s="19">
        <f>SUM(AD102:AD111)</f>
        <v>12497.17614312849</v>
      </c>
    </row>
    <row r="113" spans="7:30" x14ac:dyDescent="0.3">
      <c r="AD113" s="20">
        <f>(AD112-AB112)/AB112</f>
        <v>6.7982380600424913E-2</v>
      </c>
    </row>
    <row r="114" spans="7:30" x14ac:dyDescent="0.3">
      <c r="G114" s="1" t="s">
        <v>445</v>
      </c>
      <c r="H114" s="36">
        <f>H16</f>
        <v>9799</v>
      </c>
      <c r="J114" s="36">
        <f>J16</f>
        <v>10166.62916868906</v>
      </c>
      <c r="L114" s="36">
        <f>L16</f>
        <v>10812.167560265829</v>
      </c>
      <c r="N114" s="36">
        <f>N32</f>
        <v>10970.919663986368</v>
      </c>
      <c r="P114" s="19">
        <f>P45</f>
        <v>10264.146135644676</v>
      </c>
      <c r="R114" s="19">
        <f>R56</f>
        <v>10967.638582881593</v>
      </c>
      <c r="T114" s="19">
        <f>T56</f>
        <v>11410.857556541205</v>
      </c>
      <c r="V114" s="36">
        <f>V68</f>
        <v>10835.090798252919</v>
      </c>
      <c r="X114" s="19">
        <f>X82</f>
        <v>11720.463542839245</v>
      </c>
      <c r="Z114" s="19">
        <f>Z98</f>
        <v>11947.281368821361</v>
      </c>
      <c r="AB114" s="19">
        <f>AB98</f>
        <v>11701.668838490124</v>
      </c>
      <c r="AD114" s="19">
        <f>AD112</f>
        <v>12497.17614312849</v>
      </c>
    </row>
    <row r="115" spans="7:30" x14ac:dyDescent="0.3">
      <c r="G115" s="1" t="s">
        <v>446</v>
      </c>
      <c r="H115" s="21">
        <v>0</v>
      </c>
      <c r="I115" s="21"/>
      <c r="J115" s="21">
        <f>J17</f>
        <v>3.7517008744673938E-2</v>
      </c>
      <c r="K115" s="21"/>
      <c r="L115" s="21">
        <f>L17</f>
        <v>6.3495813692593647E-2</v>
      </c>
      <c r="M115" s="21"/>
      <c r="N115" s="21">
        <f>N33</f>
        <v>1.4885704062650811E-2</v>
      </c>
      <c r="O115" s="21"/>
      <c r="P115" s="21">
        <f>P46</f>
        <v>-5.0685620766284065E-2</v>
      </c>
      <c r="Q115" s="21"/>
      <c r="R115" s="21">
        <f>R57</f>
        <v>6.8538818323510872E-2</v>
      </c>
      <c r="S115" s="21"/>
      <c r="T115" s="21">
        <f>T57</f>
        <v>4.0411522526954236E-2</v>
      </c>
      <c r="U115" s="21"/>
      <c r="V115" s="21">
        <f>V69</f>
        <v>-5.0457799112410363E-2</v>
      </c>
      <c r="W115" s="21"/>
      <c r="X115" s="21">
        <f>X83</f>
        <v>8.1821640876319671E-2</v>
      </c>
      <c r="Y115" s="21"/>
      <c r="Z115" s="21">
        <f>Z99</f>
        <v>1.9352291413481788E-2</v>
      </c>
      <c r="AA115" s="21"/>
      <c r="AB115" s="21">
        <f>AB99</f>
        <v>-2.0558026780235359E-2</v>
      </c>
      <c r="AC115" s="21"/>
      <c r="AD115" s="21">
        <f>AD113</f>
        <v>6.7982380600424913E-2</v>
      </c>
    </row>
    <row r="116" spans="7:30" x14ac:dyDescent="0.3">
      <c r="G116" s="1" t="s">
        <v>447</v>
      </c>
      <c r="H116" s="15">
        <f>AVERAGE(J115:AD115)</f>
        <v>2.4754884871061832E-2</v>
      </c>
    </row>
    <row r="117" spans="7:30" x14ac:dyDescent="0.3">
      <c r="G117" s="1" t="s">
        <v>448</v>
      </c>
      <c r="H117" s="21">
        <f>(AD114-H114)/H114</f>
        <v>0.2753521934001929</v>
      </c>
    </row>
    <row r="118" spans="7:30" x14ac:dyDescent="0.3">
      <c r="G118" s="1" t="s">
        <v>451</v>
      </c>
      <c r="H118" s="21">
        <f>_xlfn.STDEV.P(J115:AD115)</f>
        <v>4.5205783984316829E-2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Rules</vt:lpstr>
      <vt:lpstr>Summary</vt:lpstr>
      <vt:lpstr>Universe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Asrafi (He/Him)</dc:creator>
  <cp:lastModifiedBy>Maulana Asrafi (He/Him)</cp:lastModifiedBy>
  <dcterms:created xsi:type="dcterms:W3CDTF">2025-12-18T05:09:09Z</dcterms:created>
  <dcterms:modified xsi:type="dcterms:W3CDTF">2026-01-02T03:12:45Z</dcterms:modified>
</cp:coreProperties>
</file>